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outils gestion\excel\"/>
    </mc:Choice>
  </mc:AlternateContent>
  <xr:revisionPtr revIDLastSave="0" documentId="13_ncr:1_{F111B6DB-3E14-44FC-9512-8A7E7DE67F2F}" xr6:coauthVersionLast="47" xr6:coauthVersionMax="47" xr10:uidLastSave="{00000000-0000-0000-0000-000000000000}"/>
  <bookViews>
    <workbookView xWindow="-120" yWindow="-120" windowWidth="25440" windowHeight="15390" activeTab="1" xr2:uid="{9982FCF7-FD36-40AE-8F15-694680565CFB}"/>
  </bookViews>
  <sheets>
    <sheet name="Données" sheetId="2" r:id="rId1"/>
    <sheet name="Animation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7" i="3" l="1"/>
  <c r="AX5" i="2" l="1"/>
  <c r="AY5" i="2"/>
  <c r="BB5" i="2"/>
  <c r="BC5" i="2"/>
  <c r="BF5" i="2"/>
  <c r="BG5" i="2"/>
  <c r="AQ5" i="2"/>
  <c r="AU5" i="2"/>
  <c r="AT5" i="2"/>
  <c r="AR5" i="2"/>
  <c r="R44" i="2"/>
  <c r="R45" i="2" s="1"/>
  <c r="R35" i="2"/>
  <c r="R36" i="2" s="1"/>
  <c r="R28" i="2"/>
  <c r="R37" i="2"/>
  <c r="R46" i="2"/>
  <c r="R26" i="2"/>
  <c r="R27" i="2" s="1"/>
  <c r="AM5" i="2"/>
  <c r="AN5" i="2"/>
  <c r="AL5" i="2"/>
  <c r="AK5" i="2"/>
  <c r="AJ5" i="2"/>
  <c r="AI5" i="2"/>
  <c r="AE7" i="2"/>
  <c r="AD7" i="2" s="1"/>
  <c r="AG8" i="2" s="1"/>
  <c r="BJ5" i="2" l="1"/>
  <c r="AU6" i="2" s="1"/>
  <c r="BI5" i="2"/>
  <c r="AT6" i="2" s="1"/>
  <c r="AN6" i="2"/>
  <c r="AJ6" i="2"/>
  <c r="AM6" i="2"/>
  <c r="AK6" i="2"/>
  <c r="AL6" i="2"/>
  <c r="AI6" i="2"/>
  <c r="AG9" i="2"/>
  <c r="AQ6" i="2" l="1"/>
  <c r="AR6" i="2"/>
  <c r="AJ7" i="2"/>
  <c r="AM7" i="2"/>
  <c r="AK7" i="2"/>
  <c r="AN7" i="2"/>
  <c r="AL7" i="2"/>
  <c r="AI7" i="2"/>
  <c r="AG10" i="2"/>
  <c r="BG6" i="2" l="1"/>
  <c r="AY6" i="2"/>
  <c r="BB6" i="2"/>
  <c r="BC6" i="2"/>
  <c r="BF6" i="2"/>
  <c r="AX6" i="2"/>
  <c r="AJ8" i="2"/>
  <c r="AI8" i="2"/>
  <c r="AM8" i="2"/>
  <c r="AL8" i="2"/>
  <c r="AN8" i="2"/>
  <c r="AK8" i="2"/>
  <c r="AG11" i="2"/>
  <c r="BJ6" i="2" l="1"/>
  <c r="AR7" i="2" s="1"/>
  <c r="BI6" i="2"/>
  <c r="AT7" i="2" s="1"/>
  <c r="AL9" i="2"/>
  <c r="AJ9" i="2"/>
  <c r="AN9" i="2"/>
  <c r="AK9" i="2"/>
  <c r="AM9" i="2"/>
  <c r="AI9" i="2"/>
  <c r="AG12" i="2"/>
  <c r="AU7" i="2" l="1"/>
  <c r="AQ7" i="2"/>
  <c r="AN10" i="2"/>
  <c r="AI10" i="2"/>
  <c r="AK10" i="2"/>
  <c r="AJ10" i="2"/>
  <c r="AL10" i="2"/>
  <c r="AM10" i="2"/>
  <c r="AG13" i="2"/>
  <c r="BC7" i="2" l="1"/>
  <c r="BG7" i="2"/>
  <c r="BF7" i="2"/>
  <c r="BB7" i="2"/>
  <c r="AY7" i="2"/>
  <c r="AX7" i="2"/>
  <c r="AK11" i="2"/>
  <c r="AM11" i="2"/>
  <c r="AI11" i="2"/>
  <c r="AN11" i="2"/>
  <c r="AJ11" i="2"/>
  <c r="AL11" i="2"/>
  <c r="AG14" i="2"/>
  <c r="BJ7" i="2" l="1"/>
  <c r="AR8" i="2" s="1"/>
  <c r="BI7" i="2"/>
  <c r="AM12" i="2"/>
  <c r="AL12" i="2"/>
  <c r="AI12" i="2"/>
  <c r="AJ12" i="2"/>
  <c r="AN12" i="2"/>
  <c r="AK12" i="2"/>
  <c r="AG15" i="2"/>
  <c r="AT8" i="2" l="1"/>
  <c r="AQ8" i="2"/>
  <c r="AU8" i="2"/>
  <c r="AL13" i="2"/>
  <c r="AI13" i="2"/>
  <c r="AN13" i="2"/>
  <c r="AK13" i="2"/>
  <c r="AJ13" i="2"/>
  <c r="AM13" i="2"/>
  <c r="AG16" i="2"/>
  <c r="BG8" i="2" l="1"/>
  <c r="AN14" i="2"/>
  <c r="AK14" i="2"/>
  <c r="AL14" i="2"/>
  <c r="AM14" i="2"/>
  <c r="AI14" i="2"/>
  <c r="AJ14" i="2"/>
  <c r="AG17" i="2"/>
  <c r="AM15" i="2" l="1"/>
  <c r="AN15" i="2"/>
  <c r="AK15" i="2"/>
  <c r="AJ15" i="2"/>
  <c r="AL15" i="2"/>
  <c r="AI15" i="2"/>
  <c r="AG18" i="2"/>
  <c r="AM16" i="2" l="1"/>
  <c r="AL16" i="2"/>
  <c r="AI16" i="2"/>
  <c r="AJ16" i="2"/>
  <c r="AN16" i="2"/>
  <c r="AK16" i="2"/>
  <c r="AG19" i="2"/>
  <c r="AL17" i="2" l="1"/>
  <c r="AJ17" i="2"/>
  <c r="AN17" i="2"/>
  <c r="AK17" i="2"/>
  <c r="AI17" i="2"/>
  <c r="AM17" i="2"/>
  <c r="AG20" i="2"/>
  <c r="AN18" i="2" l="1"/>
  <c r="AI18" i="2"/>
  <c r="AK18" i="2"/>
  <c r="AJ18" i="2"/>
  <c r="AM18" i="2"/>
  <c r="AL18" i="2"/>
  <c r="AG21" i="2"/>
  <c r="AK19" i="2" l="1"/>
  <c r="AM19" i="2"/>
  <c r="AI19" i="2"/>
  <c r="AN19" i="2"/>
  <c r="AJ19" i="2"/>
  <c r="AL19" i="2"/>
  <c r="AG22" i="2"/>
  <c r="AM20" i="2" l="1"/>
  <c r="AJ20" i="2"/>
  <c r="AI20" i="2"/>
  <c r="AL20" i="2"/>
  <c r="AN20" i="2"/>
  <c r="AK20" i="2"/>
  <c r="AG23" i="2"/>
  <c r="AL21" i="2" l="1"/>
  <c r="AI21" i="2"/>
  <c r="AK21" i="2"/>
  <c r="AN21" i="2"/>
  <c r="AJ21" i="2"/>
  <c r="AM21" i="2"/>
  <c r="AG24" i="2"/>
  <c r="AN22" i="2" l="1"/>
  <c r="AK22" i="2"/>
  <c r="AJ22" i="2"/>
  <c r="AL22" i="2"/>
  <c r="AM22" i="2"/>
  <c r="AI22" i="2"/>
  <c r="AG25" i="2"/>
  <c r="AK23" i="2" l="1"/>
  <c r="AM23" i="2"/>
  <c r="AJ23" i="2"/>
  <c r="AN23" i="2"/>
  <c r="AL23" i="2"/>
  <c r="AI23" i="2"/>
  <c r="AG26" i="2"/>
  <c r="AM24" i="2" l="1"/>
  <c r="AL24" i="2"/>
  <c r="AJ24" i="2"/>
  <c r="AI24" i="2"/>
  <c r="AN24" i="2"/>
  <c r="AK24" i="2"/>
  <c r="AG27" i="2"/>
  <c r="AL25" i="2" l="1"/>
  <c r="AJ25" i="2"/>
  <c r="AK25" i="2"/>
  <c r="AI25" i="2"/>
  <c r="AM25" i="2"/>
  <c r="AN25" i="2"/>
  <c r="AG28" i="2"/>
  <c r="AN26" i="2" l="1"/>
  <c r="AI26" i="2"/>
  <c r="AK26" i="2"/>
  <c r="AJ26" i="2"/>
  <c r="AL26" i="2"/>
  <c r="AM26" i="2"/>
  <c r="AG29" i="2"/>
  <c r="AM27" i="2" l="1"/>
  <c r="AI27" i="2"/>
  <c r="AK27" i="2"/>
  <c r="AN27" i="2"/>
  <c r="AJ27" i="2"/>
  <c r="AL27" i="2"/>
  <c r="AG30" i="2"/>
  <c r="AM28" i="2" l="1"/>
  <c r="AJ28" i="2"/>
  <c r="AI28" i="2"/>
  <c r="AN28" i="2"/>
  <c r="AK28" i="2"/>
  <c r="AL28" i="2"/>
  <c r="AG31" i="2"/>
  <c r="AL29" i="2" l="1"/>
  <c r="AN29" i="2"/>
  <c r="AK29" i="2"/>
  <c r="AI29" i="2"/>
  <c r="AJ29" i="2"/>
  <c r="AM29" i="2"/>
  <c r="AG32" i="2"/>
  <c r="AN30" i="2" l="1"/>
  <c r="AK30" i="2"/>
  <c r="AL30" i="2"/>
  <c r="AJ30" i="2"/>
  <c r="AM30" i="2"/>
  <c r="AI30" i="2"/>
  <c r="AG33" i="2"/>
  <c r="AK31" i="2" l="1"/>
  <c r="AM31" i="2"/>
  <c r="AN31" i="2"/>
  <c r="AI31" i="2"/>
  <c r="AJ31" i="2"/>
  <c r="AL31" i="2"/>
  <c r="AG34" i="2"/>
  <c r="AM32" i="2" l="1"/>
  <c r="AL32" i="2"/>
  <c r="AN32" i="2"/>
  <c r="AK32" i="2"/>
  <c r="AI32" i="2"/>
  <c r="AJ32" i="2"/>
  <c r="AG35" i="2"/>
  <c r="AL33" i="2" l="1"/>
  <c r="AJ33" i="2"/>
  <c r="AI33" i="2"/>
  <c r="AK33" i="2"/>
  <c r="AN33" i="2"/>
  <c r="AM33" i="2"/>
  <c r="AG36" i="2"/>
  <c r="AN34" i="2" l="1"/>
  <c r="AI34" i="2"/>
  <c r="AM34" i="2"/>
  <c r="AK34" i="2"/>
  <c r="AJ34" i="2"/>
  <c r="AL34" i="2"/>
  <c r="AG37" i="2"/>
  <c r="AM35" i="2" l="1"/>
  <c r="AI35" i="2"/>
  <c r="AN35" i="2"/>
  <c r="AJ35" i="2"/>
  <c r="AK35" i="2"/>
  <c r="AL35" i="2"/>
  <c r="AG38" i="2"/>
  <c r="AM36" i="2" l="1"/>
  <c r="AL36" i="2"/>
  <c r="AI36" i="2"/>
  <c r="AJ36" i="2"/>
  <c r="AN36" i="2"/>
  <c r="AK36" i="2"/>
  <c r="AG39" i="2"/>
  <c r="AL37" i="2" l="1"/>
  <c r="AI37" i="2"/>
  <c r="AK37" i="2"/>
  <c r="AJ37" i="2"/>
  <c r="AM37" i="2"/>
  <c r="AN37" i="2"/>
  <c r="BB8" i="2" l="1"/>
  <c r="BF8" i="2"/>
  <c r="AX8" i="2"/>
  <c r="BC8" i="2"/>
  <c r="AY8" i="2"/>
  <c r="BJ8" i="2" l="1"/>
  <c r="BI8" i="2"/>
  <c r="AQ9" i="2" l="1"/>
  <c r="AT9" i="2"/>
  <c r="AR9" i="2"/>
  <c r="AU9" i="2"/>
  <c r="BG9" i="2" l="1"/>
  <c r="BF9" i="2"/>
  <c r="BB9" i="2"/>
  <c r="AX9" i="2"/>
  <c r="AY9" i="2"/>
  <c r="BC9" i="2"/>
  <c r="BJ9" i="2" l="1"/>
  <c r="AR10" i="2" s="1"/>
  <c r="BI9" i="2"/>
  <c r="AT10" i="2" s="1"/>
  <c r="AQ10" i="2" l="1"/>
  <c r="AU10" i="2"/>
  <c r="BG10" i="2" l="1"/>
  <c r="AY10" i="2"/>
  <c r="AX10" i="2"/>
  <c r="BF10" i="2"/>
  <c r="BC10" i="2"/>
  <c r="BB10" i="2"/>
  <c r="BI10" i="2" l="1"/>
  <c r="AQ11" i="2" s="1"/>
  <c r="BJ10" i="2"/>
  <c r="AR11" i="2" s="1"/>
  <c r="AU11" i="2" l="1"/>
  <c r="BG11" i="2"/>
  <c r="AX11" i="2"/>
  <c r="AT11" i="2"/>
  <c r="BF11" i="2"/>
  <c r="AY11" i="2"/>
  <c r="BC11" i="2"/>
  <c r="BB11" i="2"/>
  <c r="BI11" i="2" l="1"/>
  <c r="AQ12" i="2" s="1"/>
  <c r="BJ11" i="2"/>
  <c r="AR12" i="2" s="1"/>
  <c r="BG12" i="2" l="1"/>
  <c r="AY12" i="2"/>
  <c r="AT12" i="2"/>
  <c r="AX12" i="2"/>
  <c r="BF12" i="2"/>
  <c r="BB12" i="2"/>
  <c r="AU12" i="2"/>
  <c r="BC12" i="2"/>
  <c r="BI12" i="2" l="1"/>
  <c r="AQ13" i="2" s="1"/>
  <c r="BJ12" i="2"/>
  <c r="AR13" i="2" s="1"/>
  <c r="BG13" i="2" l="1"/>
  <c r="AT13" i="2"/>
  <c r="BC13" i="2"/>
  <c r="AY13" i="2"/>
  <c r="AX13" i="2"/>
  <c r="BB13" i="2"/>
  <c r="AU13" i="2"/>
  <c r="BF13" i="2"/>
  <c r="BJ13" i="2" l="1"/>
  <c r="AR14" i="2" s="1"/>
  <c r="BI13" i="2"/>
  <c r="AU14" i="2" l="1"/>
  <c r="AQ14" i="2"/>
  <c r="AT14" i="2"/>
  <c r="BG14" i="2" l="1"/>
  <c r="BB14" i="2"/>
  <c r="BF14" i="2"/>
  <c r="BC14" i="2"/>
  <c r="AY14" i="2"/>
  <c r="AX14" i="2"/>
  <c r="BI14" i="2" l="1"/>
  <c r="AQ15" i="2" s="1"/>
  <c r="BJ14" i="2"/>
  <c r="AT15" i="2" l="1"/>
  <c r="AR15" i="2"/>
  <c r="AU15" i="2"/>
  <c r="BG15" i="2" l="1"/>
  <c r="AY15" i="2"/>
  <c r="BC15" i="2"/>
  <c r="BB15" i="2"/>
  <c r="AX15" i="2"/>
  <c r="BF15" i="2"/>
  <c r="BI15" i="2" l="1"/>
  <c r="AT16" i="2" s="1"/>
  <c r="BJ15" i="2"/>
  <c r="AQ16" i="2" l="1"/>
  <c r="AU16" i="2"/>
  <c r="AR16" i="2"/>
  <c r="BG16" i="2" l="1"/>
  <c r="AX16" i="2"/>
  <c r="BF16" i="2"/>
  <c r="BB16" i="2"/>
  <c r="AY16" i="2"/>
  <c r="BC16" i="2"/>
  <c r="BI16" i="2" l="1"/>
  <c r="AQ17" i="2" s="1"/>
  <c r="BJ16" i="2"/>
  <c r="AR17" i="2" s="1"/>
  <c r="BG17" i="2" l="1"/>
  <c r="AT17" i="2"/>
  <c r="AX17" i="2"/>
  <c r="BB17" i="2"/>
  <c r="BF17" i="2"/>
  <c r="AU17" i="2"/>
  <c r="AY17" i="2"/>
  <c r="BC17" i="2"/>
  <c r="BJ17" i="2" l="1"/>
  <c r="AU18" i="2" s="1"/>
  <c r="BI17" i="2"/>
  <c r="AQ18" i="2" s="1"/>
  <c r="AR18" i="2" l="1"/>
  <c r="AT18" i="2"/>
  <c r="BG18" i="2" l="1"/>
  <c r="AX18" i="2"/>
  <c r="BB18" i="2"/>
  <c r="AY18" i="2"/>
  <c r="BC18" i="2"/>
  <c r="BF18" i="2"/>
  <c r="BI18" i="2" l="1"/>
  <c r="AT19" i="2" s="1"/>
  <c r="BJ18" i="2"/>
  <c r="AR19" i="2" s="1"/>
  <c r="AQ19" i="2" l="1"/>
  <c r="AU19" i="2"/>
  <c r="BG19" i="2" l="1"/>
  <c r="AY19" i="2"/>
  <c r="BB19" i="2"/>
  <c r="BC19" i="2"/>
  <c r="BF19" i="2"/>
  <c r="AX19" i="2"/>
  <c r="BJ19" i="2" l="1"/>
  <c r="AR20" i="2" s="1"/>
  <c r="BI19" i="2"/>
  <c r="AQ20" i="2" s="1"/>
  <c r="AT20" i="2" l="1"/>
  <c r="AU20" i="2"/>
  <c r="BG20" i="2"/>
  <c r="BB20" i="2"/>
  <c r="AX20" i="2"/>
  <c r="BF20" i="2"/>
  <c r="BC20" i="2"/>
  <c r="AY20" i="2"/>
  <c r="BI20" i="2" l="1"/>
  <c r="AQ21" i="2" s="1"/>
  <c r="BJ20" i="2"/>
  <c r="AT21" i="2" l="1"/>
  <c r="AR21" i="2"/>
  <c r="AU21" i="2"/>
  <c r="BG21" i="2" l="1"/>
  <c r="AX21" i="2"/>
  <c r="AY21" i="2"/>
  <c r="BC21" i="2"/>
  <c r="BF21" i="2"/>
  <c r="BB21" i="2"/>
  <c r="BI21" i="2" l="1"/>
  <c r="AQ22" i="2" s="1"/>
  <c r="BJ21" i="2"/>
  <c r="AT22" i="2" l="1"/>
  <c r="AR22" i="2"/>
  <c r="AU22" i="2"/>
  <c r="BG22" i="2" l="1"/>
  <c r="BF22" i="2"/>
  <c r="BB22" i="2"/>
  <c r="AX22" i="2"/>
  <c r="AY22" i="2"/>
  <c r="BC22" i="2"/>
  <c r="BI22" i="2" l="1"/>
  <c r="AQ23" i="2" s="1"/>
  <c r="BJ22" i="2"/>
  <c r="AU23" i="2" s="1"/>
  <c r="AT23" i="2" l="1"/>
  <c r="AR23" i="2"/>
  <c r="BG23" i="2" l="1"/>
  <c r="AY23" i="2"/>
  <c r="BC23" i="2"/>
  <c r="AX23" i="2"/>
  <c r="BF23" i="2"/>
  <c r="BB23" i="2"/>
  <c r="BI23" i="2" l="1"/>
  <c r="AQ24" i="2" s="1"/>
  <c r="BJ23" i="2"/>
  <c r="AR24" i="2" s="1"/>
  <c r="AT24" i="2" l="1"/>
  <c r="BG24" i="2"/>
  <c r="BB24" i="2"/>
  <c r="BC24" i="2"/>
  <c r="AU24" i="2"/>
  <c r="AX24" i="2"/>
  <c r="AY24" i="2"/>
  <c r="BF24" i="2"/>
  <c r="BI24" i="2" l="1"/>
  <c r="AT25" i="2" s="1"/>
  <c r="BJ24" i="2"/>
  <c r="AU25" i="2" s="1"/>
  <c r="AR25" i="2" l="1"/>
  <c r="AQ25" i="2"/>
  <c r="BG25" i="2" l="1"/>
  <c r="BF25" i="2"/>
  <c r="AY25" i="2"/>
  <c r="BB25" i="2"/>
  <c r="AX25" i="2"/>
  <c r="BC25" i="2"/>
  <c r="BJ25" i="2" l="1"/>
  <c r="AR26" i="2" s="1"/>
  <c r="BI25" i="2"/>
  <c r="AT26" i="2" s="1"/>
  <c r="AU26" i="2" l="1"/>
  <c r="AQ26" i="2"/>
  <c r="BG26" i="2" l="1"/>
  <c r="BF26" i="2"/>
  <c r="AY26" i="2"/>
  <c r="BC26" i="2"/>
  <c r="AX26" i="2"/>
  <c r="BB26" i="2"/>
  <c r="BJ26" i="2" l="1"/>
  <c r="AR27" i="2" s="1"/>
  <c r="BI26" i="2"/>
  <c r="AT27" i="2" s="1"/>
  <c r="AU27" i="2" l="1"/>
  <c r="AQ27" i="2"/>
  <c r="BG27" i="2" l="1"/>
  <c r="BB27" i="2"/>
  <c r="AX27" i="2"/>
  <c r="BF27" i="2"/>
  <c r="AY27" i="2"/>
  <c r="BC27" i="2"/>
  <c r="BJ27" i="2" l="1"/>
  <c r="AU28" i="2" s="1"/>
  <c r="BI27" i="2"/>
  <c r="AR28" i="2" l="1"/>
  <c r="AQ28" i="2"/>
  <c r="AT28" i="2"/>
  <c r="BG28" i="2" l="1"/>
  <c r="AY28" i="2"/>
  <c r="AX28" i="2"/>
  <c r="BF28" i="2"/>
  <c r="BC28" i="2"/>
  <c r="BB28" i="2"/>
  <c r="BJ28" i="2" l="1"/>
  <c r="AU29" i="2" s="1"/>
  <c r="BI28" i="2"/>
  <c r="AR29" i="2" l="1"/>
  <c r="AT29" i="2"/>
  <c r="AQ29" i="2"/>
  <c r="AX29" i="2" l="1"/>
  <c r="BF29" i="2"/>
  <c r="BC29" i="2"/>
  <c r="BB29" i="2"/>
  <c r="BG29" i="2"/>
  <c r="AY29" i="2"/>
  <c r="BJ29" i="2" l="1"/>
  <c r="AU30" i="2" s="1"/>
  <c r="BI29" i="2"/>
  <c r="AR30" i="2" l="1"/>
  <c r="AQ30" i="2"/>
  <c r="AT30" i="2"/>
  <c r="AX30" i="2" l="1"/>
  <c r="BC30" i="2"/>
  <c r="BG30" i="2"/>
  <c r="AY30" i="2"/>
  <c r="BF30" i="2"/>
  <c r="BB30" i="2"/>
  <c r="BJ30" i="2" l="1"/>
  <c r="AU31" i="2" s="1"/>
  <c r="BI30" i="2"/>
  <c r="AR31" i="2" l="1"/>
  <c r="AQ31" i="2"/>
  <c r="AT31" i="2"/>
  <c r="BC31" i="2" l="1"/>
  <c r="BB31" i="2"/>
  <c r="BF31" i="2"/>
  <c r="AX31" i="2"/>
  <c r="AY31" i="2"/>
  <c r="BG31" i="2"/>
  <c r="BJ31" i="2" l="1"/>
  <c r="BI31" i="2"/>
  <c r="AT32" i="2" l="1"/>
  <c r="AQ32" i="2"/>
  <c r="AR32" i="2"/>
  <c r="AU32" i="2"/>
  <c r="AX32" i="2" l="1"/>
  <c r="BB32" i="2"/>
  <c r="BF32" i="2"/>
  <c r="BC32" i="2"/>
  <c r="AY32" i="2"/>
  <c r="BG32" i="2"/>
  <c r="BI32" i="2" l="1"/>
  <c r="AT33" i="2" s="1"/>
  <c r="BJ32" i="2"/>
  <c r="AQ33" i="2" l="1"/>
  <c r="AU33" i="2"/>
  <c r="AR33" i="2"/>
  <c r="AY33" i="2" l="1"/>
  <c r="BG33" i="2"/>
  <c r="BC33" i="2"/>
  <c r="AX33" i="2"/>
  <c r="BF33" i="2"/>
  <c r="BB33" i="2"/>
  <c r="BI33" i="2" l="1"/>
  <c r="AT34" i="2" s="1"/>
  <c r="BJ33" i="2"/>
  <c r="AQ34" i="2" l="1"/>
  <c r="AR34" i="2"/>
  <c r="AU34" i="2"/>
  <c r="BC34" i="2" l="1"/>
  <c r="AY34" i="2"/>
  <c r="BB34" i="2"/>
  <c r="BG34" i="2"/>
  <c r="AX34" i="2"/>
  <c r="BF34" i="2"/>
  <c r="BI34" i="2" l="1"/>
  <c r="BJ34" i="2"/>
  <c r="AR35" i="2" l="1"/>
  <c r="AU35" i="2"/>
  <c r="AT35" i="2"/>
  <c r="AQ35" i="2"/>
  <c r="BG35" i="2" l="1"/>
  <c r="BF35" i="2"/>
  <c r="AX35" i="2"/>
  <c r="BB35" i="2"/>
  <c r="BC35" i="2"/>
  <c r="AY35" i="2"/>
  <c r="BJ35" i="2" l="1"/>
  <c r="AR36" i="2" s="1"/>
  <c r="BI35" i="2"/>
  <c r="AU36" i="2" l="1"/>
  <c r="AT36" i="2"/>
  <c r="AQ36" i="2"/>
  <c r="BF36" i="2" l="1"/>
  <c r="BB36" i="2"/>
  <c r="AX36" i="2"/>
  <c r="BG36" i="2"/>
  <c r="BC36" i="2"/>
  <c r="AY36" i="2"/>
  <c r="BI36" i="2" l="1"/>
  <c r="BJ36" i="2"/>
  <c r="AQ37" i="2" l="1"/>
  <c r="AT37" i="2"/>
  <c r="AR37" i="2"/>
  <c r="AU37" i="2"/>
  <c r="AY37" i="2" l="1"/>
  <c r="BC37" i="2"/>
  <c r="BG37" i="2"/>
  <c r="BB37" i="2"/>
  <c r="BF37" i="2"/>
  <c r="AX37" i="2"/>
  <c r="BJ37" i="2" l="1"/>
  <c r="BI37" i="2"/>
  <c r="AR38" i="2" l="1"/>
  <c r="AU38" i="2"/>
  <c r="AT38" i="2"/>
  <c r="AQ38" i="2"/>
  <c r="AX38" i="2" l="1"/>
  <c r="BF38" i="2"/>
  <c r="BB38" i="2"/>
  <c r="BG38" i="2"/>
  <c r="BC38" i="2"/>
  <c r="AY38" i="2"/>
  <c r="BI38" i="2" l="1"/>
  <c r="BJ38" i="2"/>
  <c r="AR39" i="2" l="1"/>
  <c r="AU39" i="2"/>
  <c r="AQ39" i="2"/>
  <c r="AT39" i="2"/>
  <c r="BC39" i="2" l="1"/>
  <c r="AY39" i="2"/>
  <c r="BG39" i="2"/>
  <c r="BB39" i="2"/>
  <c r="AX39" i="2"/>
  <c r="BF39" i="2"/>
  <c r="BJ39" i="2" l="1"/>
  <c r="AU40" i="2" s="1"/>
  <c r="BI39" i="2"/>
  <c r="AQ40" i="2" s="1"/>
  <c r="AR40" i="2" l="1"/>
  <c r="AT40" i="2"/>
  <c r="BG40" i="2" l="1"/>
  <c r="BF40" i="2"/>
  <c r="BB40" i="2"/>
  <c r="AX40" i="2"/>
  <c r="AY40" i="2"/>
  <c r="BC40" i="2"/>
  <c r="BJ40" i="2" l="1"/>
  <c r="AU41" i="2" s="1"/>
  <c r="BI40" i="2"/>
  <c r="AQ41" i="2" s="1"/>
  <c r="AT41" i="2" l="1"/>
  <c r="AR41" i="2"/>
  <c r="AY41" i="2" l="1"/>
  <c r="BB41" i="2"/>
  <c r="BF41" i="2"/>
  <c r="AX41" i="2"/>
  <c r="BG41" i="2"/>
  <c r="BC41" i="2"/>
  <c r="BJ41" i="2" l="1"/>
  <c r="AU42" i="2" s="1"/>
  <c r="BI41" i="2"/>
  <c r="AQ42" i="2"/>
  <c r="AT42" i="2"/>
  <c r="AR42" i="2" l="1"/>
  <c r="BF42" i="2" s="1"/>
  <c r="BG42" i="2" l="1"/>
  <c r="AY42" i="2"/>
  <c r="AX42" i="2"/>
  <c r="BC42" i="2"/>
  <c r="BB42" i="2"/>
  <c r="BI42" i="2" s="1"/>
  <c r="AT43" i="2" s="1"/>
  <c r="BJ42" i="2" l="1"/>
  <c r="AR43" i="2" s="1"/>
  <c r="AQ43" i="2"/>
  <c r="AU43" i="2"/>
  <c r="BF43" i="2" l="1"/>
  <c r="BG43" i="2"/>
  <c r="BC43" i="2"/>
  <c r="AY43" i="2"/>
  <c r="BB43" i="2"/>
  <c r="AX43" i="2"/>
  <c r="BJ43" i="2" l="1"/>
  <c r="AR44" i="2" s="1"/>
  <c r="BI43" i="2"/>
  <c r="AT44" i="2" s="1"/>
  <c r="AU44" i="2"/>
  <c r="AQ44" i="2" l="1"/>
  <c r="BF44" i="2" l="1"/>
  <c r="BG44" i="2"/>
  <c r="BC44" i="2"/>
  <c r="AY44" i="2"/>
  <c r="BB44" i="2"/>
  <c r="AX44" i="2"/>
  <c r="BI44" i="2" l="1"/>
  <c r="AQ45" i="2" s="1"/>
  <c r="BJ44" i="2"/>
  <c r="AU45" i="2" s="1"/>
  <c r="AT45" i="2" l="1"/>
  <c r="AR45" i="2"/>
  <c r="BG45" i="2" s="1"/>
  <c r="BF45" i="2" l="1"/>
  <c r="BB45" i="2"/>
  <c r="AX45" i="2"/>
  <c r="AY45" i="2"/>
  <c r="BC45" i="2"/>
  <c r="BI45" i="2" l="1"/>
  <c r="AT46" i="2" s="1"/>
  <c r="BJ45" i="2"/>
  <c r="AR46" i="2" s="1"/>
  <c r="AU46" i="2" l="1"/>
  <c r="AQ46" i="2"/>
  <c r="BB46" i="2"/>
  <c r="AX46" i="2"/>
  <c r="BF46" i="2"/>
  <c r="AY46" i="2"/>
  <c r="BG46" i="2"/>
  <c r="BC46" i="2"/>
  <c r="BI46" i="2" l="1"/>
  <c r="AT47" i="2" s="1"/>
  <c r="BJ46" i="2"/>
  <c r="AQ47" i="2" l="1"/>
  <c r="AU47" i="2"/>
  <c r="AR47" i="2"/>
  <c r="BG47" i="2" l="1"/>
  <c r="BC47" i="2"/>
  <c r="AY47" i="2"/>
  <c r="BB47" i="2"/>
  <c r="BF47" i="2"/>
  <c r="AX47" i="2"/>
  <c r="BI47" i="2" l="1"/>
  <c r="BJ47" i="2"/>
  <c r="AR48" i="2" l="1"/>
  <c r="G3" i="3" s="1" a="1"/>
  <c r="G3" i="3" s="1"/>
  <c r="AU48" i="2"/>
  <c r="AQ48" i="2"/>
  <c r="F3" i="3" s="1" a="1"/>
  <c r="F3" i="3" s="1"/>
  <c r="AT48" i="2"/>
  <c r="BC48" i="2" l="1"/>
  <c r="AY48" i="2"/>
  <c r="BG48" i="2"/>
  <c r="BF48" i="2"/>
  <c r="BB48" i="2"/>
  <c r="AX48" i="2"/>
  <c r="BJ48" i="2" l="1"/>
  <c r="AU49" i="2" s="1"/>
  <c r="BI48" i="2"/>
  <c r="AR49" i="2" l="1"/>
  <c r="G4" i="3" s="1" a="1"/>
  <c r="G4" i="3" s="1"/>
  <c r="AQ49" i="2"/>
  <c r="F4" i="3" s="1" a="1"/>
  <c r="F4" i="3" s="1"/>
  <c r="AT49" i="2"/>
  <c r="BB49" i="2" l="1"/>
  <c r="BF49" i="2"/>
  <c r="AX49" i="2"/>
  <c r="BG49" i="2"/>
  <c r="BC49" i="2"/>
  <c r="AY49" i="2"/>
  <c r="BJ49" i="2" l="1"/>
  <c r="BI49" i="2"/>
  <c r="AQ50" i="2" l="1"/>
  <c r="F5" i="3" s="1" a="1"/>
  <c r="F5" i="3" s="1"/>
  <c r="AT50" i="2"/>
  <c r="AU50" i="2"/>
  <c r="AR50" i="2"/>
  <c r="G5" i="3" s="1" a="1"/>
  <c r="G5" i="3" s="1"/>
  <c r="AY50" i="2" l="1"/>
  <c r="BG50" i="2"/>
  <c r="BC50" i="2"/>
  <c r="AX50" i="2"/>
  <c r="BF50" i="2"/>
  <c r="BB50" i="2"/>
  <c r="BI50" i="2" l="1"/>
  <c r="AQ51" i="2" s="1"/>
  <c r="F6" i="3" s="1" a="1"/>
  <c r="F6" i="3" s="1"/>
  <c r="BJ50" i="2"/>
  <c r="AT51" i="2" l="1"/>
  <c r="AR51" i="2"/>
  <c r="G6" i="3" s="1" a="1"/>
  <c r="G6" i="3" s="1"/>
  <c r="AU51" i="2"/>
  <c r="BG51" i="2" l="1"/>
  <c r="AY51" i="2"/>
  <c r="BC51" i="2"/>
  <c r="AX51" i="2"/>
  <c r="BF51" i="2"/>
  <c r="BB51" i="2"/>
  <c r="BI51" i="2" l="1"/>
  <c r="AT52" i="2" s="1"/>
  <c r="BJ51" i="2"/>
  <c r="AQ52" i="2" l="1"/>
  <c r="F7" i="3" s="1" a="1"/>
  <c r="F7" i="3" s="1"/>
  <c r="AU52" i="2"/>
  <c r="AR52" i="2"/>
  <c r="G7" i="3" s="1" a="1"/>
  <c r="G7" i="3" s="1"/>
  <c r="BB52" i="2" l="1"/>
  <c r="AX52" i="2"/>
  <c r="BF52" i="2"/>
  <c r="BG52" i="2"/>
  <c r="AY52" i="2"/>
  <c r="BC52" i="2"/>
  <c r="BI52" i="2" l="1"/>
  <c r="AT53" i="2" s="1"/>
  <c r="BJ52" i="2"/>
  <c r="AQ53" i="2" l="1"/>
  <c r="F8" i="3" s="1" a="1"/>
  <c r="F8" i="3" s="1"/>
  <c r="AU53" i="2"/>
  <c r="AR53" i="2"/>
  <c r="G8" i="3" s="1" a="1"/>
  <c r="G8" i="3" s="1"/>
  <c r="BC53" i="2" l="1"/>
  <c r="AY53" i="2"/>
  <c r="BG53" i="2"/>
  <c r="AX53" i="2"/>
  <c r="BB53" i="2"/>
  <c r="BF53" i="2"/>
  <c r="BI53" i="2" l="1"/>
  <c r="AT54" i="2" s="1"/>
  <c r="BJ53" i="2"/>
  <c r="AR54" i="2" s="1"/>
  <c r="G9" i="3" s="1" a="1"/>
  <c r="G9" i="3" s="1"/>
  <c r="AU54" i="2" l="1"/>
  <c r="AQ54" i="2"/>
  <c r="F9" i="3" s="1" a="1"/>
  <c r="F9" i="3" s="1"/>
  <c r="AY54" i="2" l="1"/>
  <c r="BB54" i="2"/>
  <c r="BF54" i="2"/>
  <c r="AX54" i="2"/>
  <c r="BG54" i="2"/>
  <c r="BC54" i="2"/>
  <c r="BI54" i="2" l="1"/>
  <c r="AT55" i="2" s="1"/>
  <c r="BJ54" i="2"/>
  <c r="AQ55" i="2" l="1"/>
  <c r="F10" i="3" s="1" a="1"/>
  <c r="F10" i="3" s="1"/>
  <c r="AR55" i="2"/>
  <c r="G10" i="3" s="1" a="1"/>
  <c r="G10" i="3" s="1"/>
  <c r="AU55" i="2"/>
  <c r="AX55" i="2" l="1"/>
  <c r="AY55" i="2"/>
  <c r="BC55" i="2"/>
  <c r="BF55" i="2"/>
  <c r="BB55" i="2"/>
  <c r="BG55" i="2"/>
  <c r="BJ55" i="2" l="1"/>
  <c r="AR56" i="2" s="1"/>
  <c r="G11" i="3" s="1" a="1"/>
  <c r="G11" i="3" s="1"/>
  <c r="BI55" i="2"/>
  <c r="AQ56" i="2" s="1"/>
  <c r="F11" i="3" s="1" a="1"/>
  <c r="F11" i="3" s="1"/>
  <c r="AU56" i="2" l="1"/>
  <c r="AT56" i="2"/>
  <c r="AY56" i="2"/>
  <c r="BG56" i="2"/>
  <c r="BC56" i="2"/>
  <c r="AX56" i="2"/>
  <c r="BB56" i="2"/>
  <c r="BF56" i="2"/>
  <c r="BI56" i="2" l="1"/>
  <c r="AQ57" i="2" s="1"/>
  <c r="F12" i="3" s="1" a="1"/>
  <c r="F12" i="3" s="1"/>
  <c r="BJ56" i="2"/>
  <c r="AT57" i="2" l="1"/>
  <c r="AR57" i="2"/>
  <c r="G12" i="3" s="1" a="1"/>
  <c r="G12" i="3" s="1"/>
  <c r="AU57" i="2"/>
  <c r="BG57" i="2" l="1"/>
  <c r="AX57" i="2"/>
  <c r="BF57" i="2"/>
  <c r="BB57" i="2"/>
  <c r="AY57" i="2"/>
  <c r="BC57" i="2"/>
  <c r="BI57" i="2" l="1"/>
  <c r="AT58" i="2" s="1"/>
  <c r="BJ57" i="2"/>
  <c r="AR58" i="2" s="1"/>
  <c r="AQ58" i="2" l="1"/>
  <c r="AU58" i="2"/>
  <c r="BF58" i="2" l="1"/>
  <c r="AY58" i="2"/>
  <c r="BC58" i="2"/>
  <c r="BG58" i="2"/>
  <c r="AX58" i="2"/>
  <c r="BB58" i="2"/>
  <c r="BI58" i="2" l="1"/>
  <c r="AT59" i="2" s="1"/>
  <c r="BJ58" i="2"/>
  <c r="AR59" i="2" s="1"/>
  <c r="AU59" i="2" l="1"/>
  <c r="AQ59" i="2"/>
  <c r="BC59" i="2" l="1"/>
  <c r="BG59" i="2"/>
  <c r="AX59" i="2"/>
  <c r="BF59" i="2"/>
  <c r="BB59" i="2"/>
  <c r="AY59" i="2"/>
  <c r="BI59" i="2" l="1"/>
  <c r="AQ60" i="2" s="1"/>
  <c r="BJ59" i="2"/>
  <c r="AU60" i="2" s="1"/>
  <c r="AT60" i="2" l="1"/>
  <c r="AR60" i="2"/>
  <c r="BG60" i="2" s="1"/>
  <c r="AY60" i="2" l="1"/>
  <c r="AX60" i="2"/>
  <c r="BC60" i="2"/>
  <c r="BB60" i="2"/>
  <c r="BF60" i="2"/>
  <c r="BI60" i="2" l="1"/>
  <c r="BJ60" i="2"/>
  <c r="AU61" i="2"/>
  <c r="AR61" i="2"/>
  <c r="AT61" i="2"/>
  <c r="AQ61" i="2"/>
  <c r="BB61" i="2" l="1"/>
  <c r="AX61" i="2"/>
  <c r="BF61" i="2"/>
  <c r="BG61" i="2"/>
  <c r="AY61" i="2"/>
  <c r="BC61" i="2"/>
  <c r="BI61" i="2" l="1"/>
  <c r="AQ62" i="2" s="1"/>
  <c r="BJ61" i="2"/>
  <c r="AT62" i="2" l="1"/>
  <c r="AU62" i="2"/>
  <c r="AR62" i="2"/>
  <c r="BG62" i="2" l="1"/>
  <c r="BC62" i="2"/>
  <c r="AY62" i="2"/>
  <c r="BB62" i="2"/>
  <c r="BF62" i="2"/>
  <c r="AX62" i="2"/>
  <c r="BI62" i="2" l="1"/>
  <c r="BJ62" i="2"/>
  <c r="AU63" i="2" l="1"/>
  <c r="AR63" i="2"/>
  <c r="AQ63" i="2"/>
  <c r="AT63" i="2"/>
  <c r="BF63" i="2" l="1"/>
  <c r="BB63" i="2"/>
  <c r="AX63" i="2"/>
  <c r="BG63" i="2"/>
  <c r="AY63" i="2"/>
  <c r="BC63" i="2"/>
  <c r="BJ63" i="2" l="1"/>
  <c r="AU64" i="2" s="1"/>
  <c r="BI63" i="2"/>
  <c r="AR64" i="2" l="1"/>
  <c r="AQ64" i="2"/>
  <c r="AT64" i="2"/>
  <c r="AX64" i="2" l="1"/>
  <c r="AY64" i="2"/>
  <c r="BG64" i="2"/>
  <c r="BC64" i="2"/>
  <c r="BF64" i="2"/>
  <c r="BB64" i="2"/>
  <c r="BJ64" i="2" l="1"/>
  <c r="BI64" i="2"/>
  <c r="AT65" i="2" l="1"/>
  <c r="AQ65" i="2"/>
  <c r="AU65" i="2"/>
  <c r="AR65" i="2"/>
  <c r="AY65" i="2" l="1"/>
  <c r="AX65" i="2"/>
  <c r="BF65" i="2"/>
  <c r="BB65" i="2"/>
  <c r="BG65" i="2"/>
  <c r="BC65" i="2"/>
  <c r="BJ65" i="2" l="1"/>
  <c r="BI65" i="2"/>
  <c r="AQ66" i="2" l="1"/>
  <c r="AT66" i="2"/>
  <c r="AR66" i="2"/>
  <c r="AU66" i="2"/>
  <c r="BC66" i="2" l="1"/>
  <c r="AY66" i="2"/>
  <c r="BG66" i="2"/>
  <c r="BB66" i="2"/>
  <c r="BF66" i="2"/>
  <c r="AX66" i="2"/>
  <c r="BJ66" i="2" l="1"/>
  <c r="AR67" i="2" s="1"/>
  <c r="BI66" i="2"/>
  <c r="AU67" i="2" l="1"/>
  <c r="AT67" i="2"/>
  <c r="AQ67" i="2"/>
  <c r="BC67" i="2" l="1"/>
  <c r="BF67" i="2"/>
  <c r="BB67" i="2"/>
  <c r="AX67" i="2"/>
  <c r="AY67" i="2"/>
  <c r="BG67" i="2"/>
  <c r="BJ67" i="2" l="1"/>
  <c r="AR68" i="2" s="1"/>
  <c r="BI67" i="2"/>
  <c r="AU68" i="2" l="1"/>
  <c r="AT68" i="2"/>
  <c r="AQ68" i="2"/>
  <c r="BB68" i="2" l="1"/>
  <c r="AX68" i="2"/>
  <c r="BF68" i="2"/>
  <c r="BC68" i="2"/>
  <c r="AY68" i="2"/>
  <c r="BG68" i="2"/>
  <c r="BI68" i="2" l="1"/>
  <c r="BJ68" i="2"/>
  <c r="AQ69" i="2" l="1"/>
  <c r="AT69" i="2"/>
  <c r="AU69" i="2"/>
  <c r="AR69" i="2"/>
  <c r="AY69" i="2" l="1"/>
  <c r="BG69" i="2"/>
  <c r="BC69" i="2"/>
  <c r="AX69" i="2"/>
  <c r="BF69" i="2"/>
  <c r="BB69" i="2"/>
  <c r="BJ69" i="2" l="1"/>
  <c r="BI69" i="2"/>
  <c r="AR70" i="2" l="1"/>
  <c r="AU70" i="2"/>
  <c r="AT70" i="2"/>
  <c r="AQ70" i="2"/>
  <c r="BF70" i="2" l="1"/>
  <c r="AX70" i="2"/>
  <c r="BB70" i="2"/>
  <c r="BG70" i="2"/>
  <c r="BC70" i="2"/>
  <c r="AY70" i="2"/>
  <c r="BJ70" i="2" l="1"/>
  <c r="AR71" i="2" s="1"/>
  <c r="BI70" i="2"/>
  <c r="AU71" i="2" l="1"/>
  <c r="AQ71" i="2"/>
  <c r="AT71" i="2"/>
  <c r="BC71" i="2" l="1"/>
  <c r="BG71" i="2"/>
  <c r="AY71" i="2"/>
  <c r="AX71" i="2"/>
  <c r="BB71" i="2"/>
  <c r="BF71" i="2"/>
  <c r="BJ71" i="2" l="1"/>
  <c r="AU72" i="2" s="1"/>
  <c r="BI71" i="2"/>
  <c r="AT72" i="2" s="1"/>
  <c r="AR72" i="2" l="1"/>
  <c r="AQ72" i="2"/>
  <c r="BG72" i="2" l="1"/>
  <c r="BF72" i="2"/>
  <c r="BB72" i="2"/>
  <c r="AX72" i="2"/>
  <c r="AY72" i="2"/>
  <c r="BC72" i="2"/>
  <c r="BJ72" i="2" l="1"/>
  <c r="AU73" i="2" s="1"/>
  <c r="BI72" i="2"/>
  <c r="AT73" i="2" s="1"/>
  <c r="AQ73" i="2" l="1"/>
  <c r="AR73" i="2"/>
  <c r="BG73" i="2" l="1"/>
  <c r="BB73" i="2"/>
  <c r="AX73" i="2"/>
  <c r="BF73" i="2"/>
  <c r="BC73" i="2"/>
  <c r="AY73" i="2"/>
  <c r="BJ73" i="2" l="1"/>
  <c r="AU74" i="2" s="1"/>
  <c r="BI73" i="2"/>
  <c r="AT74" i="2" s="1"/>
  <c r="AQ74" i="2" l="1"/>
  <c r="AR74" i="2"/>
  <c r="BC74" i="2" l="1"/>
  <c r="BF74" i="2"/>
  <c r="AX74" i="2"/>
  <c r="BB74" i="2"/>
  <c r="BG74" i="2"/>
  <c r="AY74" i="2"/>
  <c r="BJ74" i="2" l="1"/>
  <c r="AU75" i="2" s="1"/>
  <c r="BI74" i="2"/>
  <c r="AR75" i="2"/>
  <c r="AT75" i="2"/>
  <c r="AQ75" i="2"/>
  <c r="BC75" i="2" l="1"/>
  <c r="AY75" i="2"/>
  <c r="BB75" i="2"/>
  <c r="BF75" i="2"/>
  <c r="AX75" i="2"/>
  <c r="BG75" i="2"/>
  <c r="BJ75" i="2" l="1"/>
  <c r="AR76" i="2" s="1"/>
  <c r="BI75" i="2"/>
  <c r="AU76" i="2" l="1"/>
  <c r="AQ76" i="2"/>
  <c r="AT76" i="2"/>
  <c r="BG76" i="2" l="1"/>
  <c r="BB76" i="2"/>
  <c r="BF76" i="2"/>
  <c r="AX76" i="2"/>
  <c r="BC76" i="2"/>
  <c r="AY76" i="2"/>
  <c r="BI76" i="2" l="1"/>
  <c r="AT77" i="2" s="1"/>
  <c r="BJ76" i="2"/>
  <c r="AQ77" i="2" l="1"/>
  <c r="AU77" i="2"/>
  <c r="AR77" i="2"/>
  <c r="BB77" i="2" l="1"/>
  <c r="BF77" i="2"/>
  <c r="AY77" i="2"/>
  <c r="BC77" i="2"/>
  <c r="BG77" i="2"/>
  <c r="AX77" i="2"/>
  <c r="BI77" i="2" l="1"/>
  <c r="AT78" i="2" s="1"/>
  <c r="BJ77" i="2"/>
  <c r="AR78" i="2" s="1"/>
  <c r="AQ78" i="2"/>
  <c r="BC78" i="2" l="1"/>
  <c r="AU78" i="2"/>
  <c r="BG78" i="2"/>
  <c r="BF78" i="2"/>
  <c r="AX78" i="2"/>
  <c r="BB78" i="2"/>
  <c r="AY78" i="2"/>
  <c r="BI78" i="2" l="1"/>
  <c r="BJ78" i="2"/>
  <c r="AR79" i="2" l="1"/>
  <c r="AU79" i="2"/>
  <c r="AQ79" i="2"/>
  <c r="AT79" i="2"/>
  <c r="BG79" i="2" l="1"/>
  <c r="BF79" i="2"/>
  <c r="AX79" i="2"/>
  <c r="BB79" i="2"/>
  <c r="BC79" i="2"/>
  <c r="AY79" i="2"/>
  <c r="BI79" i="2" l="1"/>
  <c r="BJ79" i="2"/>
  <c r="AR80" i="2" l="1"/>
  <c r="AU80" i="2"/>
  <c r="AQ80" i="2"/>
  <c r="AT80" i="2"/>
  <c r="BF80" i="2" l="1"/>
  <c r="BB80" i="2"/>
  <c r="AX80" i="2"/>
  <c r="BG80" i="2"/>
  <c r="AY80" i="2"/>
  <c r="BC80" i="2"/>
  <c r="BI80" i="2" l="1"/>
  <c r="BJ80" i="2"/>
  <c r="AU81" i="2" l="1"/>
  <c r="AR81" i="2"/>
  <c r="AT81" i="2"/>
  <c r="AQ81" i="2"/>
  <c r="BG81" i="2" l="1"/>
  <c r="BC81" i="2"/>
  <c r="AY81" i="2"/>
  <c r="BB81" i="2"/>
  <c r="BF81" i="2"/>
  <c r="AX81" i="2"/>
  <c r="BI81" i="2" l="1"/>
  <c r="BJ81" i="2"/>
  <c r="AU82" i="2" l="1"/>
  <c r="AR82" i="2"/>
  <c r="AT82" i="2"/>
  <c r="AQ82" i="2"/>
  <c r="AY82" i="2" l="1"/>
  <c r="BC82" i="2"/>
  <c r="BG82" i="2"/>
  <c r="BB82" i="2"/>
  <c r="BF82" i="2"/>
  <c r="AX82" i="2"/>
  <c r="BJ82" i="2" l="1"/>
  <c r="AU83" i="2" s="1"/>
  <c r="BI82" i="2"/>
  <c r="AR83" i="2" l="1"/>
  <c r="AT83" i="2"/>
  <c r="AQ83" i="2"/>
  <c r="BF83" i="2" l="1"/>
  <c r="AX83" i="2"/>
  <c r="BB83" i="2"/>
  <c r="BG83" i="2"/>
  <c r="BC83" i="2"/>
  <c r="AY83" i="2"/>
  <c r="BJ83" i="2" l="1"/>
  <c r="BI83" i="2"/>
  <c r="AQ84" i="2" l="1"/>
  <c r="AT84" i="2"/>
  <c r="AU84" i="2"/>
  <c r="AR84" i="2"/>
  <c r="BG84" i="2" l="1"/>
  <c r="BC84" i="2"/>
  <c r="AY84" i="2"/>
  <c r="BF84" i="2"/>
  <c r="BB84" i="2"/>
  <c r="AX84" i="2"/>
  <c r="BI84" i="2" l="1"/>
  <c r="BJ84" i="2"/>
  <c r="AU85" i="2" l="1"/>
  <c r="AR85" i="2"/>
  <c r="AQ85" i="2"/>
  <c r="AT85" i="2"/>
  <c r="BG85" i="2" l="1"/>
  <c r="BC85" i="2"/>
  <c r="AY85" i="2"/>
  <c r="BF85" i="2"/>
  <c r="AX85" i="2"/>
  <c r="BB85" i="2"/>
  <c r="BJ85" i="2" l="1"/>
  <c r="AU86" i="2" s="1"/>
  <c r="BI85" i="2"/>
  <c r="AR86" i="2" l="1"/>
  <c r="AQ86" i="2"/>
  <c r="AT86" i="2"/>
  <c r="BG86" i="2" l="1"/>
  <c r="BC86" i="2"/>
  <c r="AY86" i="2"/>
  <c r="BB86" i="2"/>
  <c r="AX86" i="2"/>
  <c r="BF86" i="2"/>
  <c r="BJ86" i="2" l="1"/>
  <c r="AU87" i="2" s="1"/>
  <c r="BI86" i="2"/>
  <c r="AT87" i="2" s="1"/>
  <c r="AR87" i="2" l="1"/>
  <c r="AQ87" i="2"/>
  <c r="BG87" i="2" l="1"/>
  <c r="BF87" i="2"/>
  <c r="BB87" i="2"/>
  <c r="AX87" i="2"/>
  <c r="BC87" i="2"/>
  <c r="AY87" i="2"/>
  <c r="BI87" i="2" l="1"/>
  <c r="AT88" i="2" s="1"/>
  <c r="BJ87" i="2"/>
  <c r="AU88" i="2" s="1"/>
  <c r="AR88" i="2" l="1"/>
  <c r="AQ88" i="2"/>
  <c r="BB88" i="2" l="1"/>
  <c r="BG88" i="2"/>
  <c r="BF88" i="2"/>
  <c r="BC88" i="2"/>
  <c r="AY88" i="2"/>
  <c r="AX88" i="2"/>
  <c r="BI88" i="2" l="1"/>
  <c r="AT89" i="2" s="1"/>
  <c r="BJ88" i="2"/>
  <c r="AU89" i="2" s="1"/>
  <c r="AQ89" i="2" l="1"/>
  <c r="AR89" i="2"/>
  <c r="BB89" i="2" l="1"/>
  <c r="AY89" i="2"/>
  <c r="AX89" i="2"/>
  <c r="BF89" i="2"/>
  <c r="BC89" i="2"/>
  <c r="BG89" i="2"/>
  <c r="BJ89" i="2" l="1"/>
  <c r="BI89" i="2"/>
  <c r="AR90" i="2"/>
  <c r="AU90" i="2"/>
  <c r="AQ90" i="2"/>
  <c r="AT90" i="2"/>
  <c r="BF90" i="2" l="1"/>
  <c r="AX90" i="2"/>
  <c r="BB90" i="2"/>
  <c r="BG90" i="2"/>
  <c r="BC90" i="2"/>
  <c r="AY90" i="2"/>
  <c r="BJ90" i="2" l="1"/>
  <c r="BI90" i="2"/>
  <c r="AQ91" i="2" l="1"/>
  <c r="AT91" i="2"/>
  <c r="AU91" i="2"/>
  <c r="AR91" i="2"/>
  <c r="BG91" i="2" l="1"/>
  <c r="BC91" i="2"/>
  <c r="AY91" i="2"/>
  <c r="BF91" i="2"/>
  <c r="BB91" i="2"/>
  <c r="AX91" i="2"/>
  <c r="BI91" i="2" l="1"/>
  <c r="BJ91" i="2"/>
  <c r="AR92" i="2" l="1"/>
  <c r="AU92" i="2"/>
  <c r="AQ92" i="2"/>
  <c r="AT92" i="2"/>
  <c r="AX92" i="2" l="1"/>
  <c r="BF92" i="2"/>
  <c r="BB92" i="2"/>
  <c r="BG92" i="2"/>
  <c r="AY92" i="2"/>
  <c r="BC92" i="2"/>
  <c r="BI92" i="2" l="1"/>
  <c r="AT93" i="2" s="1"/>
  <c r="BJ92" i="2"/>
  <c r="AQ93" i="2" l="1"/>
  <c r="AU93" i="2"/>
  <c r="AR93" i="2"/>
  <c r="BG93" i="2" l="1"/>
  <c r="BC93" i="2"/>
  <c r="AY93" i="2"/>
  <c r="BB93" i="2"/>
  <c r="BF93" i="2"/>
  <c r="AX93" i="2"/>
  <c r="BI93" i="2" l="1"/>
  <c r="BJ93" i="2"/>
  <c r="AU94" i="2" l="1"/>
  <c r="AR94" i="2"/>
  <c r="AQ94" i="2"/>
  <c r="AT94" i="2"/>
  <c r="BG94" i="2" l="1"/>
  <c r="AY94" i="2"/>
  <c r="BC94" i="2"/>
  <c r="BB94" i="2"/>
  <c r="AX94" i="2"/>
  <c r="BF94" i="2"/>
  <c r="BI94" i="2" l="1"/>
  <c r="AT95" i="2" s="1"/>
  <c r="BJ94" i="2"/>
  <c r="AU95" i="2" s="1"/>
  <c r="AR95" i="2" l="1"/>
  <c r="AQ95" i="2"/>
  <c r="AX95" i="2" l="1"/>
  <c r="BB95" i="2"/>
  <c r="BF95" i="2"/>
  <c r="AY95" i="2"/>
  <c r="BG95" i="2"/>
  <c r="BC95" i="2"/>
  <c r="BI95" i="2"/>
  <c r="BJ95" i="2" l="1"/>
  <c r="AU96" i="2" s="1"/>
  <c r="AR96" i="2"/>
  <c r="AT96" i="2"/>
  <c r="AQ96" i="2"/>
  <c r="BG96" i="2" l="1"/>
  <c r="BC96" i="2"/>
  <c r="AY96" i="2"/>
  <c r="BF96" i="2"/>
  <c r="BB96" i="2"/>
  <c r="AX96" i="2"/>
  <c r="BJ96" i="2" l="1"/>
  <c r="AU97" i="2" s="1"/>
  <c r="BI96" i="2"/>
  <c r="AR97" i="2" l="1"/>
  <c r="AQ97" i="2"/>
  <c r="AT97" i="2"/>
  <c r="BB97" i="2" l="1"/>
  <c r="AX97" i="2"/>
  <c r="BF97" i="2"/>
  <c r="BG97" i="2"/>
  <c r="BC97" i="2"/>
  <c r="AY97" i="2"/>
  <c r="BI97" i="2" l="1"/>
  <c r="AT98" i="2" s="1"/>
  <c r="BJ97" i="2"/>
  <c r="AU98" i="2" s="1"/>
  <c r="AQ98" i="2" l="1"/>
  <c r="AR98" i="2"/>
  <c r="BG98" i="2" l="1"/>
  <c r="BC98" i="2"/>
  <c r="AY98" i="2"/>
  <c r="AX98" i="2"/>
  <c r="BF98" i="2"/>
  <c r="BB98" i="2"/>
  <c r="BJ98" i="2" l="1"/>
  <c r="AR99" i="2" s="1"/>
  <c r="BI98" i="2"/>
  <c r="AT99" i="2" s="1"/>
  <c r="AQ99" i="2" l="1"/>
  <c r="AU99" i="2"/>
  <c r="BC99" i="2" l="1"/>
  <c r="AX99" i="2"/>
  <c r="BG99" i="2"/>
  <c r="BB99" i="2"/>
  <c r="BF99" i="2"/>
  <c r="AY99" i="2"/>
  <c r="BJ99" i="2" l="1"/>
  <c r="AU100" i="2" s="1"/>
  <c r="BI99" i="2"/>
  <c r="AQ100" i="2" s="1"/>
  <c r="AR100" i="2" l="1"/>
  <c r="AT100" i="2"/>
  <c r="BF100" i="2"/>
  <c r="BB100" i="2"/>
  <c r="AX100" i="2"/>
  <c r="BG100" i="2"/>
  <c r="AY100" i="2"/>
  <c r="BC100" i="2"/>
  <c r="BJ100" i="2" l="1"/>
  <c r="BI100" i="2"/>
  <c r="AQ101" i="2" l="1"/>
  <c r="AT101" i="2"/>
  <c r="AU101" i="2"/>
  <c r="AR101" i="2"/>
  <c r="BG101" i="2" l="1"/>
  <c r="BC101" i="2"/>
  <c r="AY101" i="2"/>
  <c r="BB101" i="2"/>
  <c r="AX101" i="2"/>
  <c r="BF101" i="2"/>
  <c r="BI101" i="2" l="1"/>
  <c r="AT102" i="2" s="1"/>
  <c r="BJ101" i="2"/>
  <c r="AQ102" i="2" l="1"/>
  <c r="AR102" i="2"/>
  <c r="AU102" i="2"/>
  <c r="BF102" i="2" l="1"/>
  <c r="AX102" i="2"/>
  <c r="BB102" i="2"/>
  <c r="AY102" i="2"/>
  <c r="BG102" i="2"/>
  <c r="BC102" i="2"/>
  <c r="BI102" i="2" l="1"/>
  <c r="AQ103" i="2" s="1"/>
  <c r="BJ102" i="2"/>
  <c r="AT103" i="2" l="1"/>
  <c r="AR103" i="2"/>
  <c r="AU103" i="2"/>
  <c r="BG103" i="2" l="1"/>
  <c r="AY103" i="2"/>
  <c r="BC103" i="2"/>
  <c r="BB103" i="2"/>
  <c r="AX103" i="2"/>
  <c r="BF103" i="2"/>
  <c r="BI103" i="2" l="1"/>
  <c r="AT104" i="2" s="1"/>
  <c r="BJ103" i="2"/>
  <c r="AQ104" i="2" l="1"/>
  <c r="AU104" i="2"/>
  <c r="AR104" i="2"/>
  <c r="AY104" i="2" l="1"/>
  <c r="BG104" i="2"/>
  <c r="BC104" i="2"/>
  <c r="BB104" i="2"/>
  <c r="AX104" i="2"/>
  <c r="BF104" i="2"/>
  <c r="BI104" i="2" l="1"/>
  <c r="AQ105" i="2" s="1"/>
  <c r="BJ104" i="2"/>
  <c r="AT105" i="2" l="1"/>
  <c r="AR105" i="2"/>
  <c r="AU105" i="2"/>
  <c r="BF105" i="2" l="1"/>
  <c r="BG105" i="2"/>
  <c r="BC105" i="2"/>
  <c r="AY105" i="2"/>
  <c r="AX105" i="2"/>
  <c r="BB105" i="2"/>
  <c r="BI105" i="2" l="1"/>
  <c r="AQ106" i="2" s="1"/>
  <c r="BJ105" i="2"/>
  <c r="AT106" i="2" l="1"/>
  <c r="AR106" i="2"/>
  <c r="AU106" i="2"/>
  <c r="AX106" i="2"/>
  <c r="BF106" i="2"/>
  <c r="BB106" i="2" l="1"/>
  <c r="BI106" i="2" s="1"/>
  <c r="BG106" i="2"/>
  <c r="AY106" i="2"/>
  <c r="BC106" i="2"/>
  <c r="BJ106" i="2" l="1"/>
  <c r="AT107" i="2"/>
  <c r="AQ107" i="2"/>
  <c r="AR107" i="2" l="1"/>
  <c r="AU107" i="2"/>
  <c r="BG107" i="2" l="1"/>
  <c r="AY107" i="2"/>
  <c r="BC107" i="2"/>
  <c r="AX107" i="2"/>
  <c r="BF107" i="2"/>
  <c r="BB107" i="2"/>
  <c r="BI107" i="2" l="1"/>
  <c r="AQ108" i="2" s="1"/>
  <c r="BJ107" i="2"/>
  <c r="AT108" i="2" l="1"/>
  <c r="AR108" i="2"/>
  <c r="AU108" i="2"/>
  <c r="AX108" i="2" l="1"/>
  <c r="BG108" i="2"/>
  <c r="BF108" i="2"/>
  <c r="BB108" i="2"/>
  <c r="AY108" i="2"/>
  <c r="BC108" i="2"/>
  <c r="BJ108" i="2" s="1"/>
  <c r="BI108" i="2" l="1"/>
  <c r="AT109" i="2" s="1"/>
  <c r="AU109" i="2"/>
  <c r="AR109" i="2"/>
  <c r="AQ109" i="2" l="1"/>
  <c r="BG109" i="2" l="1"/>
  <c r="AX109" i="2"/>
  <c r="BF109" i="2"/>
  <c r="BB109" i="2"/>
  <c r="BC109" i="2"/>
  <c r="AY109" i="2"/>
  <c r="BJ109" i="2" l="1"/>
  <c r="AR110" i="2" s="1"/>
  <c r="BI109" i="2"/>
  <c r="AT110" i="2" s="1"/>
  <c r="AQ110" i="2" l="1"/>
  <c r="BG110" i="2" s="1"/>
  <c r="AU110" i="2"/>
  <c r="BB110" i="2" l="1"/>
  <c r="BF110" i="2"/>
  <c r="AY110" i="2"/>
  <c r="AX110" i="2"/>
  <c r="BC110" i="2"/>
  <c r="BJ110" i="2" s="1"/>
  <c r="BI110" i="2"/>
  <c r="AT111" i="2" l="1"/>
  <c r="AQ111" i="2"/>
  <c r="AU111" i="2"/>
  <c r="AR111" i="2"/>
  <c r="BF111" i="2" l="1"/>
  <c r="BB111" i="2"/>
  <c r="AX111" i="2"/>
  <c r="BG111" i="2"/>
  <c r="AY111" i="2"/>
  <c r="BC111" i="2"/>
  <c r="BJ111" i="2" l="1"/>
  <c r="BI111" i="2"/>
  <c r="AQ112" i="2" l="1"/>
  <c r="AT112" i="2"/>
  <c r="AU112" i="2"/>
  <c r="AR112" i="2"/>
  <c r="BC112" i="2" l="1"/>
  <c r="AY112" i="2"/>
  <c r="BG112" i="2"/>
  <c r="BB112" i="2"/>
  <c r="AX112" i="2"/>
  <c r="BF112" i="2"/>
  <c r="BJ112" i="2" l="1"/>
  <c r="AR113" i="2" s="1"/>
  <c r="BI112" i="2"/>
  <c r="AU113" i="2" l="1"/>
  <c r="AT113" i="2"/>
  <c r="AQ113" i="2"/>
  <c r="AX113" i="2" l="1"/>
  <c r="BF113" i="2"/>
  <c r="BB113" i="2"/>
  <c r="BG113" i="2"/>
  <c r="BC113" i="2"/>
  <c r="AY113" i="2"/>
  <c r="BJ113" i="2" l="1"/>
  <c r="AU114" i="2" s="1"/>
  <c r="BI113" i="2"/>
  <c r="AR114" i="2" l="1"/>
  <c r="AQ114" i="2"/>
  <c r="AT114" i="2"/>
  <c r="C3" i="3" l="1" a="1"/>
  <c r="C3" i="3" s="1"/>
  <c r="F13" i="3" s="1"/>
  <c r="D3" i="3" a="1"/>
  <c r="D3" i="3" s="1"/>
  <c r="G13" i="3" s="1"/>
  <c r="AX114" i="2"/>
  <c r="BB114" i="2"/>
  <c r="BF114" i="2"/>
  <c r="BG114" i="2"/>
  <c r="BC114" i="2"/>
  <c r="AY114" i="2"/>
  <c r="BI114" i="2" l="1"/>
  <c r="AT115" i="2" s="1"/>
  <c r="BJ114" i="2"/>
  <c r="AQ115" i="2" l="1"/>
  <c r="AU115" i="2"/>
  <c r="AR115" i="2"/>
  <c r="BG115" i="2" l="1"/>
  <c r="AY115" i="2"/>
  <c r="BC115" i="2"/>
  <c r="BF115" i="2"/>
  <c r="BB115" i="2"/>
  <c r="AX115" i="2"/>
  <c r="BI115" i="2" l="1"/>
  <c r="BJ115" i="2"/>
  <c r="AR116" i="2" l="1"/>
  <c r="AU116" i="2"/>
  <c r="AQ116" i="2"/>
  <c r="AT116" i="2"/>
  <c r="BF116" i="2" l="1"/>
  <c r="BB116" i="2"/>
  <c r="AX116" i="2"/>
  <c r="BC116" i="2"/>
  <c r="BG116" i="2"/>
  <c r="AY116" i="2"/>
  <c r="BJ116" i="2" l="1"/>
  <c r="AU117" i="2" s="1"/>
  <c r="BI116" i="2"/>
  <c r="AR117" i="2" l="1"/>
  <c r="AT117" i="2"/>
  <c r="AQ117" i="2"/>
  <c r="BG117" i="2" l="1"/>
  <c r="AY117" i="2"/>
  <c r="BC117" i="2"/>
  <c r="AX117" i="2"/>
  <c r="BB117" i="2"/>
  <c r="BF117" i="2"/>
  <c r="BJ117" i="2" l="1"/>
  <c r="AU118" i="2" s="1"/>
  <c r="BI117" i="2"/>
  <c r="AT118" i="2" s="1"/>
  <c r="AR118" i="2" l="1"/>
  <c r="AQ118" i="2"/>
  <c r="AY118" i="2" l="1"/>
  <c r="BB118" i="2"/>
  <c r="BF118" i="2"/>
  <c r="AX118" i="2"/>
  <c r="BG118" i="2"/>
  <c r="BC118" i="2"/>
  <c r="BI118" i="2" l="1"/>
  <c r="AT119" i="2" s="1"/>
  <c r="BJ118" i="2"/>
  <c r="AU119" i="2" s="1"/>
  <c r="AR119" i="2" l="1"/>
  <c r="AQ119" i="2"/>
  <c r="BG119" i="2" l="1"/>
  <c r="BB119" i="2"/>
  <c r="AX119" i="2"/>
  <c r="BF119" i="2"/>
  <c r="AY119" i="2"/>
  <c r="BC119" i="2"/>
  <c r="BI119" i="2" l="1"/>
  <c r="AT120" i="2" s="1"/>
  <c r="BJ119" i="2"/>
  <c r="AR120" i="2" s="1"/>
  <c r="AQ120" i="2" l="1"/>
  <c r="AU120" i="2"/>
  <c r="AX120" i="2" l="1"/>
  <c r="AY120" i="2"/>
  <c r="BB120" i="2"/>
  <c r="BF120" i="2"/>
  <c r="BC120" i="2"/>
  <c r="BG120" i="2"/>
  <c r="BI120" i="2" l="1"/>
  <c r="AT121" i="2" s="1"/>
  <c r="BJ120" i="2"/>
  <c r="AU121" i="2" s="1"/>
  <c r="AR121" i="2" l="1"/>
  <c r="AQ121" i="2"/>
  <c r="BF121" i="2" s="1"/>
  <c r="BB121" i="2" l="1"/>
  <c r="AY121" i="2"/>
  <c r="BC121" i="2"/>
  <c r="BG121" i="2"/>
  <c r="BJ121" i="2" s="1"/>
  <c r="AX121" i="2"/>
  <c r="BI121" i="2" s="1"/>
  <c r="AU122" i="2" l="1"/>
  <c r="AR122" i="2"/>
  <c r="AQ122" i="2"/>
  <c r="AT122" i="2"/>
  <c r="BF122" i="2" l="1"/>
  <c r="BB122" i="2"/>
  <c r="AX122" i="2"/>
  <c r="AY122" i="2"/>
  <c r="BC122" i="2"/>
  <c r="BG122" i="2"/>
  <c r="BJ122" i="2" l="1"/>
  <c r="AU123" i="2" s="1"/>
  <c r="BI122" i="2"/>
  <c r="AR123" i="2" l="1"/>
  <c r="AQ123" i="2"/>
  <c r="AT123" i="2"/>
  <c r="AY123" i="2" l="1"/>
  <c r="BC123" i="2"/>
  <c r="BG123" i="2"/>
  <c r="BF123" i="2"/>
  <c r="AX123" i="2"/>
  <c r="BB123" i="2"/>
  <c r="BJ123" i="2" l="1"/>
  <c r="AU124" i="2" s="1"/>
  <c r="BI123" i="2"/>
  <c r="AR124" i="2" l="1"/>
  <c r="AT124" i="2"/>
  <c r="AQ124" i="2"/>
  <c r="BB124" i="2" l="1"/>
  <c r="AX124" i="2"/>
  <c r="BF124" i="2"/>
  <c r="AY124" i="2"/>
  <c r="BG124" i="2"/>
  <c r="BC124" i="2"/>
  <c r="BJ124" i="2" l="1"/>
  <c r="AR125" i="2" s="1"/>
  <c r="BI124" i="2"/>
  <c r="AU125" i="2" l="1"/>
  <c r="AQ125" i="2"/>
  <c r="AT125" i="2"/>
  <c r="BC125" i="2" l="1"/>
  <c r="BG125" i="2"/>
  <c r="AY125" i="2"/>
  <c r="AX125" i="2"/>
  <c r="BF125" i="2"/>
  <c r="BB125" i="2"/>
  <c r="BJ125" i="2" l="1"/>
  <c r="AR126" i="2" s="1"/>
  <c r="BI125" i="2"/>
  <c r="AU126" i="2" l="1"/>
  <c r="AT126" i="2"/>
  <c r="AQ126" i="2"/>
  <c r="BC126" i="2" l="1"/>
  <c r="AX126" i="2"/>
  <c r="BF126" i="2"/>
  <c r="BB126" i="2"/>
  <c r="BG126" i="2"/>
  <c r="AY126" i="2"/>
  <c r="BI126" i="2" l="1"/>
  <c r="BJ126" i="2"/>
  <c r="AT127" i="2" l="1"/>
  <c r="AQ127" i="2"/>
  <c r="AU127" i="2"/>
  <c r="AR127" i="2"/>
  <c r="BG127" i="2" l="1"/>
  <c r="BC127" i="2"/>
  <c r="AY127" i="2"/>
  <c r="AX127" i="2"/>
  <c r="BB127" i="2"/>
  <c r="BF127" i="2"/>
  <c r="BI127" i="2" l="1"/>
  <c r="AT128" i="2" s="1"/>
  <c r="BJ127" i="2"/>
  <c r="AQ128" i="2" l="1"/>
  <c r="AR128" i="2"/>
  <c r="AU128" i="2"/>
  <c r="BB128" i="2" l="1"/>
  <c r="BG128" i="2"/>
  <c r="AY128" i="2"/>
  <c r="BC128" i="2"/>
  <c r="AX128" i="2"/>
  <c r="BF128" i="2"/>
  <c r="BI128" i="2" l="1"/>
  <c r="AQ129" i="2" s="1"/>
  <c r="BJ128" i="2"/>
  <c r="AU129" i="2" s="1"/>
  <c r="AR129" i="2" l="1"/>
  <c r="AT129" i="2"/>
  <c r="BC129" i="2" l="1"/>
  <c r="AX129" i="2"/>
  <c r="BF129" i="2"/>
  <c r="BG129" i="2"/>
  <c r="BB129" i="2"/>
  <c r="AY129" i="2"/>
  <c r="BJ129" i="2" l="1"/>
  <c r="AU130" i="2" s="1"/>
  <c r="BI129" i="2"/>
  <c r="AR130" i="2"/>
  <c r="AT130" i="2"/>
  <c r="AQ130" i="2"/>
  <c r="BG130" i="2" l="1"/>
  <c r="BC130" i="2"/>
  <c r="AY130" i="2"/>
  <c r="BB130" i="2"/>
  <c r="BF130" i="2"/>
  <c r="AX130" i="2"/>
  <c r="BJ130" i="2" l="1"/>
  <c r="AR131" i="2" s="1"/>
  <c r="BI130" i="2"/>
  <c r="AU131" i="2" l="1"/>
  <c r="AQ131" i="2"/>
  <c r="AT131" i="2"/>
  <c r="BF131" i="2" l="1"/>
  <c r="BB131" i="2"/>
  <c r="AX131" i="2"/>
  <c r="AY131" i="2"/>
  <c r="BG131" i="2"/>
  <c r="BC131" i="2"/>
  <c r="BJ131" i="2" l="1"/>
  <c r="AR132" i="2" s="1"/>
  <c r="BI131" i="2"/>
  <c r="AU132" i="2" l="1"/>
  <c r="AT132" i="2"/>
  <c r="AQ132" i="2"/>
  <c r="BG132" i="2" l="1"/>
  <c r="BC132" i="2"/>
  <c r="AY132" i="2"/>
  <c r="AX132" i="2"/>
  <c r="BB132" i="2"/>
  <c r="BF132" i="2"/>
  <c r="BJ132" i="2" l="1"/>
  <c r="AR133" i="2" s="1"/>
  <c r="BI132" i="2"/>
  <c r="AU133" i="2" l="1"/>
  <c r="AT133" i="2"/>
  <c r="AQ133" i="2"/>
  <c r="BG133" i="2" l="1"/>
  <c r="AY133" i="2"/>
  <c r="BF133" i="2"/>
  <c r="BB133" i="2"/>
  <c r="AX133" i="2"/>
  <c r="BC133" i="2"/>
  <c r="BJ133" i="2" l="1"/>
  <c r="BI133" i="2"/>
  <c r="AU134" i="2"/>
  <c r="AR134" i="2"/>
  <c r="AQ134" i="2"/>
  <c r="AT134" i="2"/>
  <c r="BC134" i="2" l="1"/>
  <c r="AY134" i="2"/>
  <c r="BG134" i="2"/>
  <c r="BF134" i="2"/>
  <c r="AX134" i="2"/>
  <c r="BB134" i="2"/>
  <c r="BJ134" i="2" l="1"/>
  <c r="AU135" i="2" s="1"/>
  <c r="BI134" i="2"/>
  <c r="AR135" i="2" l="1"/>
  <c r="AQ135" i="2"/>
  <c r="AT135" i="2"/>
  <c r="BF135" i="2" l="1"/>
  <c r="AX135" i="2"/>
  <c r="BB135" i="2"/>
  <c r="AY135" i="2"/>
  <c r="BC135" i="2"/>
  <c r="BG135" i="2"/>
  <c r="BJ135" i="2" l="1"/>
  <c r="BI135" i="2"/>
  <c r="AT136" i="2" l="1"/>
  <c r="AQ136" i="2"/>
  <c r="AU136" i="2"/>
  <c r="AR136" i="2"/>
  <c r="AX136" i="2" l="1"/>
  <c r="BB136" i="2"/>
  <c r="BF136" i="2"/>
  <c r="BG136" i="2"/>
  <c r="AY136" i="2"/>
  <c r="BC136" i="2"/>
  <c r="BI136" i="2" l="1"/>
  <c r="AT137" i="2" s="1"/>
  <c r="BJ136" i="2"/>
  <c r="AQ137" i="2" l="1"/>
  <c r="AU137" i="2"/>
  <c r="AR137" i="2"/>
  <c r="AX137" i="2" l="1"/>
  <c r="BF137" i="2"/>
  <c r="BB137" i="2"/>
  <c r="AY137" i="2"/>
  <c r="BC137" i="2"/>
  <c r="BG137" i="2"/>
  <c r="BI137" i="2" l="1"/>
  <c r="AT138" i="2" s="1"/>
  <c r="BJ137" i="2"/>
  <c r="AQ138" i="2" l="1"/>
  <c r="AR138" i="2"/>
  <c r="AU138" i="2"/>
  <c r="BF138" i="2" l="1"/>
  <c r="BC138" i="2"/>
  <c r="AY138" i="2"/>
  <c r="AX138" i="2"/>
  <c r="BG138" i="2"/>
  <c r="BB138" i="2"/>
  <c r="BJ138" i="2" l="1"/>
  <c r="AU139" i="2" s="1"/>
  <c r="BI138" i="2"/>
  <c r="AR139" i="2" l="1"/>
  <c r="AT139" i="2"/>
  <c r="AQ139" i="2"/>
  <c r="BC139" i="2" l="1"/>
  <c r="BG139" i="2"/>
  <c r="BF139" i="2"/>
  <c r="AX139" i="2"/>
  <c r="BB139" i="2"/>
  <c r="AY139" i="2"/>
  <c r="BJ139" i="2" l="1"/>
  <c r="AR140" i="2" s="1"/>
  <c r="BI139" i="2"/>
  <c r="AT140" i="2" s="1"/>
  <c r="AQ140" i="2" l="1"/>
  <c r="AU140" i="2"/>
  <c r="AX140" i="2" l="1"/>
  <c r="BB140" i="2"/>
  <c r="BC140" i="2"/>
  <c r="AY140" i="2"/>
  <c r="BG140" i="2"/>
  <c r="BF140" i="2"/>
  <c r="BI140" i="2" l="1"/>
  <c r="AT141" i="2" s="1"/>
  <c r="BJ140" i="2"/>
  <c r="AU141" i="2" s="1"/>
  <c r="AR141" i="2"/>
  <c r="AQ141" i="2" l="1"/>
  <c r="BB141" i="2" s="1"/>
  <c r="AY141" i="2"/>
  <c r="BG141" i="2"/>
  <c r="BF141" i="2"/>
  <c r="AX141" i="2"/>
  <c r="BC141" i="2"/>
  <c r="BJ141" i="2" l="1"/>
  <c r="AR142" i="2" s="1"/>
  <c r="BI141" i="2"/>
  <c r="AU142" i="2" l="1"/>
  <c r="AQ142" i="2"/>
  <c r="AT142" i="2"/>
  <c r="BC142" i="2" l="1"/>
  <c r="BB142" i="2"/>
  <c r="BF142" i="2"/>
  <c r="AX142" i="2"/>
  <c r="BG142" i="2"/>
  <c r="AY142" i="2"/>
  <c r="BJ142" i="2" l="1"/>
  <c r="BI142" i="2"/>
  <c r="AT143" i="2" l="1"/>
  <c r="AQ143" i="2"/>
  <c r="AU143" i="2"/>
  <c r="AR143" i="2"/>
  <c r="BG143" i="2" l="1"/>
  <c r="AY143" i="2"/>
  <c r="BC143" i="2"/>
  <c r="BB143" i="2"/>
  <c r="AX143" i="2"/>
  <c r="BF143" i="2"/>
  <c r="BI143" i="2" l="1"/>
  <c r="AT144" i="2" s="1"/>
  <c r="BJ143" i="2"/>
  <c r="AQ144" i="2" l="1"/>
  <c r="AU144" i="2"/>
  <c r="AR144" i="2"/>
  <c r="BB144" i="2" l="1"/>
  <c r="AX144" i="2"/>
  <c r="BF144" i="2"/>
  <c r="AY144" i="2"/>
  <c r="BG144" i="2"/>
  <c r="BC144" i="2"/>
  <c r="BI144" i="2" l="1"/>
  <c r="AQ145" i="2" s="1"/>
  <c r="BJ144" i="2"/>
  <c r="AT145" i="2" l="1"/>
  <c r="AU145" i="2"/>
  <c r="AR145" i="2"/>
  <c r="BF145" i="2" l="1"/>
  <c r="BG145" i="2"/>
  <c r="AY145" i="2"/>
  <c r="BC145" i="2"/>
  <c r="BB145" i="2"/>
  <c r="AX145" i="2"/>
  <c r="BJ145" i="2" l="1"/>
  <c r="BI145" i="2"/>
  <c r="AR146" i="2" l="1"/>
  <c r="AU146" i="2"/>
  <c r="AQ146" i="2"/>
  <c r="AT146" i="2"/>
  <c r="BF146" i="2" l="1"/>
  <c r="AX146" i="2"/>
  <c r="BB146" i="2"/>
  <c r="BC146" i="2"/>
  <c r="AY146" i="2"/>
  <c r="BG146" i="2"/>
  <c r="BJ146" i="2" l="1"/>
  <c r="AU147" i="2" s="1"/>
  <c r="BI146" i="2"/>
  <c r="AR147" i="2" l="1"/>
  <c r="AT147" i="2"/>
  <c r="AQ147" i="2"/>
  <c r="AY147" i="2" l="1"/>
  <c r="AX147" i="2"/>
  <c r="BG147" i="2"/>
  <c r="BC147" i="2"/>
  <c r="BB147" i="2"/>
  <c r="BF147" i="2"/>
  <c r="BJ147" i="2" l="1"/>
  <c r="AU148" i="2" s="1"/>
  <c r="BI147" i="2"/>
  <c r="AQ148" i="2" s="1"/>
  <c r="AR148" i="2"/>
  <c r="AT148" i="2" l="1"/>
  <c r="BB148" i="2"/>
  <c r="BC148" i="2"/>
  <c r="AY148" i="2"/>
  <c r="BG148" i="2"/>
  <c r="AX148" i="2"/>
  <c r="BF148" i="2"/>
  <c r="BI148" i="2" l="1"/>
  <c r="AQ149" i="2" s="1"/>
  <c r="BJ148" i="2"/>
  <c r="AT149" i="2" l="1"/>
  <c r="AU149" i="2"/>
  <c r="AR149" i="2"/>
  <c r="AX149" i="2" l="1"/>
  <c r="BF149" i="2"/>
  <c r="BC149" i="2"/>
  <c r="AY149" i="2"/>
  <c r="BB149" i="2"/>
  <c r="BG149" i="2"/>
  <c r="BJ149" i="2" l="1"/>
  <c r="AU150" i="2" s="1"/>
  <c r="BI149" i="2"/>
  <c r="AR150" i="2" l="1"/>
  <c r="AQ150" i="2"/>
  <c r="AT150" i="2"/>
  <c r="BG150" i="2" l="1"/>
  <c r="AY150" i="2"/>
  <c r="BC150" i="2"/>
  <c r="BB150" i="2"/>
  <c r="BF150" i="2"/>
  <c r="AX150" i="2"/>
  <c r="BJ150" i="2" l="1"/>
  <c r="AU151" i="2" s="1"/>
  <c r="BI150" i="2"/>
  <c r="AR151" i="2" l="1"/>
  <c r="AT151" i="2"/>
  <c r="AQ151" i="2"/>
  <c r="AX151" i="2" l="1"/>
  <c r="BG151" i="2"/>
  <c r="BC151" i="2"/>
  <c r="BB151" i="2"/>
  <c r="BF151" i="2"/>
  <c r="AY151" i="2"/>
  <c r="BI151" i="2" l="1"/>
  <c r="BJ151" i="2"/>
  <c r="AU152" i="2" l="1"/>
  <c r="AR152" i="2"/>
  <c r="AT152" i="2"/>
  <c r="AQ152" i="2"/>
  <c r="BB152" i="2" l="1"/>
  <c r="AX152" i="2"/>
  <c r="BF152" i="2"/>
  <c r="BC152" i="2"/>
  <c r="AY152" i="2"/>
  <c r="BG152" i="2"/>
  <c r="BJ152" i="2" l="1"/>
  <c r="AR153" i="2" s="1"/>
  <c r="BI152" i="2"/>
  <c r="AT153" i="2" s="1"/>
  <c r="AQ153" i="2" l="1"/>
  <c r="AU153" i="2"/>
  <c r="BC153" i="2" l="1"/>
  <c r="BF153" i="2"/>
  <c r="BG153" i="2"/>
  <c r="AX153" i="2"/>
  <c r="BB153" i="2"/>
  <c r="AY153" i="2"/>
  <c r="BI153" i="2" l="1"/>
  <c r="AT154" i="2" s="1"/>
  <c r="BJ153" i="2"/>
  <c r="AU154" i="2" s="1"/>
  <c r="AR154" i="2"/>
  <c r="AQ154" i="2" l="1"/>
  <c r="BF154" i="2" s="1"/>
  <c r="AY154" i="2" l="1"/>
  <c r="BC154" i="2"/>
  <c r="AX154" i="2"/>
  <c r="BG154" i="2"/>
  <c r="BJ154" i="2" s="1"/>
  <c r="AU155" i="2" s="1"/>
  <c r="BB154" i="2"/>
  <c r="BI154" i="2" s="1"/>
  <c r="AR155" i="2" l="1"/>
  <c r="AT155" i="2"/>
  <c r="AQ155" i="2"/>
  <c r="BB155" i="2" l="1"/>
  <c r="AX155" i="2"/>
  <c r="AY155" i="2"/>
  <c r="BF155" i="2"/>
  <c r="BC155" i="2"/>
  <c r="BG155" i="2"/>
  <c r="BI155" i="2" l="1"/>
  <c r="AQ156" i="2" s="1"/>
  <c r="BJ155" i="2"/>
  <c r="AT156" i="2" l="1"/>
  <c r="AR156" i="2"/>
  <c r="AU156" i="2"/>
  <c r="BC156" i="2" l="1"/>
  <c r="AY156" i="2"/>
  <c r="AX156" i="2"/>
  <c r="BG156" i="2"/>
  <c r="BB156" i="2"/>
  <c r="BF156" i="2"/>
  <c r="BJ156" i="2" l="1"/>
  <c r="AR157" i="2" s="1"/>
  <c r="BI156" i="2"/>
  <c r="AT157" i="2" s="1"/>
  <c r="AU157" i="2" l="1"/>
  <c r="AQ157" i="2"/>
  <c r="AX157" i="2" l="1"/>
  <c r="AY157" i="2"/>
  <c r="BB157" i="2"/>
  <c r="BF157" i="2"/>
  <c r="BG157" i="2"/>
  <c r="BC157" i="2"/>
  <c r="BI157" i="2" l="1"/>
  <c r="AQ158" i="2" s="1"/>
  <c r="BJ157" i="2"/>
  <c r="AT158" i="2" l="1"/>
  <c r="AR158" i="2"/>
  <c r="AU158" i="2"/>
  <c r="BB158" i="2" l="1"/>
  <c r="BC158" i="2"/>
  <c r="AY158" i="2"/>
  <c r="BG158" i="2"/>
  <c r="AX158" i="2"/>
  <c r="BF158" i="2"/>
  <c r="BJ158" i="2" l="1"/>
  <c r="AR159" i="2" s="1"/>
  <c r="BI158" i="2"/>
  <c r="AQ159" i="2" s="1"/>
  <c r="AU159" i="2" l="1"/>
  <c r="AT159" i="2"/>
  <c r="AX159" i="2"/>
  <c r="AY159" i="2"/>
  <c r="BC159" i="2"/>
  <c r="BG159" i="2"/>
  <c r="BB159" i="2"/>
  <c r="BF159" i="2"/>
  <c r="BJ159" i="2" l="1"/>
  <c r="AU160" i="2" s="1"/>
  <c r="BI159" i="2"/>
  <c r="AT160" i="2" s="1"/>
  <c r="AR160" i="2"/>
  <c r="AQ160" i="2" l="1"/>
  <c r="BC160" i="2" s="1"/>
  <c r="AX160" i="2" l="1"/>
  <c r="BB160" i="2"/>
  <c r="BF160" i="2"/>
  <c r="AY160" i="2"/>
  <c r="BG160" i="2"/>
  <c r="BI160" i="2" l="1"/>
  <c r="AQ161" i="2" s="1"/>
  <c r="BJ160" i="2"/>
  <c r="AT161" i="2"/>
  <c r="AU161" i="2"/>
  <c r="AR161" i="2"/>
  <c r="BF161" i="2" l="1"/>
  <c r="AX161" i="2"/>
  <c r="BB161" i="2"/>
  <c r="AY161" i="2"/>
  <c r="BG161" i="2"/>
  <c r="BC161" i="2"/>
  <c r="BI161" i="2" l="1"/>
  <c r="AT162" i="2" s="1"/>
  <c r="BJ161" i="2"/>
  <c r="AU162" i="2" s="1"/>
  <c r="AQ162" i="2" l="1"/>
  <c r="AR162" i="2"/>
  <c r="AX162" i="2" l="1"/>
  <c r="BC162" i="2"/>
  <c r="BG162" i="2"/>
  <c r="AY162" i="2"/>
  <c r="BB162" i="2"/>
  <c r="BF162" i="2"/>
  <c r="BI162" i="2" l="1"/>
  <c r="AT163" i="2" s="1"/>
  <c r="BJ162" i="2"/>
  <c r="AR163" i="2" s="1"/>
  <c r="AU163" i="2" l="1"/>
  <c r="AQ163" i="2"/>
  <c r="AY163" i="2" l="1"/>
  <c r="BB163" i="2"/>
  <c r="BC163" i="2"/>
  <c r="AX163" i="2"/>
  <c r="BF163" i="2"/>
  <c r="BG163" i="2"/>
  <c r="BJ163" i="2" l="1"/>
  <c r="BI163" i="2"/>
  <c r="AT164" i="2" s="1"/>
  <c r="AQ164" i="2"/>
  <c r="AU164" i="2"/>
  <c r="AR164" i="2"/>
  <c r="BG164" i="2" l="1"/>
  <c r="AY164" i="2"/>
  <c r="BC164" i="2"/>
  <c r="AX164" i="2"/>
  <c r="BB164" i="2"/>
  <c r="BF164" i="2"/>
  <c r="BI164" i="2" l="1"/>
  <c r="AT165" i="2" s="1"/>
  <c r="BJ164" i="2"/>
  <c r="AQ165" i="2" l="1"/>
  <c r="AU165" i="2"/>
  <c r="AR165" i="2"/>
  <c r="AX165" i="2" l="1"/>
  <c r="BC165" i="2"/>
  <c r="AY165" i="2"/>
  <c r="BG165" i="2"/>
  <c r="BB165" i="2"/>
  <c r="BF165" i="2"/>
  <c r="BI165" i="2" l="1"/>
  <c r="AQ166" i="2" s="1"/>
  <c r="BJ165" i="2"/>
  <c r="AU166" i="2" s="1"/>
  <c r="AR166" i="2" l="1"/>
  <c r="AT166" i="2"/>
  <c r="AX166" i="2" l="1"/>
  <c r="AY166" i="2"/>
  <c r="BF166" i="2"/>
  <c r="BG166" i="2"/>
  <c r="BB166" i="2"/>
  <c r="BI166" i="2" s="1"/>
  <c r="AT167" i="2" s="1"/>
  <c r="BC166" i="2"/>
  <c r="BJ166" i="2" l="1"/>
  <c r="AQ167" i="2"/>
  <c r="AU167" i="2"/>
  <c r="AR167" i="2"/>
  <c r="BB167" i="2" l="1"/>
  <c r="BF167" i="2"/>
  <c r="AY167" i="2"/>
  <c r="BC167" i="2"/>
  <c r="BG167" i="2"/>
  <c r="AX167" i="2"/>
  <c r="BI167" i="2" l="1"/>
  <c r="AT168" i="2" s="1"/>
  <c r="BJ167" i="2"/>
  <c r="AU168" i="2" s="1"/>
  <c r="AQ168" i="2"/>
  <c r="AR168" i="2" l="1"/>
  <c r="AY168" i="2" l="1"/>
  <c r="BF168" i="2"/>
  <c r="AX168" i="2"/>
  <c r="BB168" i="2"/>
  <c r="BC168" i="2"/>
  <c r="BG168" i="2"/>
  <c r="BI168" i="2" l="1"/>
  <c r="AT169" i="2" s="1"/>
  <c r="BJ168" i="2"/>
  <c r="AU169" i="2" s="1"/>
  <c r="AQ169" i="2" l="1"/>
  <c r="AR169" i="2"/>
  <c r="BC169" i="2" l="1"/>
  <c r="AY169" i="2"/>
  <c r="BB169" i="2"/>
  <c r="BG169" i="2"/>
  <c r="AX169" i="2"/>
  <c r="BF169" i="2"/>
  <c r="BJ169" i="2" l="1"/>
  <c r="BI169" i="2"/>
  <c r="AT170" i="2" s="1"/>
  <c r="AU170" i="2"/>
  <c r="AR170" i="2"/>
  <c r="AQ170" i="2" l="1"/>
  <c r="BC170" i="2"/>
  <c r="AY170" i="2"/>
  <c r="BG170" i="2"/>
  <c r="BF170" i="2"/>
  <c r="BB170" i="2"/>
  <c r="AX170" i="2"/>
  <c r="BI170" i="2" l="1"/>
  <c r="BJ170" i="2"/>
  <c r="AR171" i="2" l="1"/>
  <c r="AU171" i="2"/>
  <c r="AT171" i="2"/>
  <c r="AQ171" i="2"/>
  <c r="BB171" i="2" l="1"/>
  <c r="AX171" i="2"/>
  <c r="BF171" i="2"/>
  <c r="AY171" i="2"/>
  <c r="BG171" i="2"/>
  <c r="BC171" i="2"/>
  <c r="BI171" i="2" l="1"/>
  <c r="AQ172" i="2" s="1"/>
  <c r="BJ171" i="2"/>
  <c r="AT172" i="2" l="1"/>
  <c r="AU172" i="2"/>
  <c r="AR172" i="2"/>
  <c r="BC172" i="2" l="1"/>
  <c r="BG172" i="2"/>
  <c r="AY172" i="2"/>
  <c r="BB172" i="2"/>
  <c r="AX172" i="2"/>
  <c r="BF172" i="2"/>
  <c r="BI172" i="2" l="1"/>
  <c r="AQ173" i="2" s="1"/>
  <c r="BJ172" i="2"/>
  <c r="AT173" i="2" l="1"/>
  <c r="AR173" i="2"/>
  <c r="AU173" i="2"/>
  <c r="BG173" i="2" l="1"/>
  <c r="BF173" i="2"/>
  <c r="BB173" i="2"/>
  <c r="AX173" i="2"/>
  <c r="AY173" i="2"/>
  <c r="BC173" i="2"/>
  <c r="BI173" i="2" l="1"/>
  <c r="AT174" i="2" s="1"/>
  <c r="BJ173" i="2"/>
  <c r="AU174" i="2" s="1"/>
  <c r="AR174" i="2" l="1"/>
  <c r="AQ174" i="2"/>
  <c r="BB174" i="2" l="1"/>
  <c r="BG174" i="2"/>
  <c r="BC174" i="2"/>
  <c r="AY174" i="2"/>
  <c r="AX174" i="2"/>
  <c r="BF174" i="2"/>
  <c r="BJ174" i="2" l="1"/>
  <c r="AR175" i="2"/>
  <c r="AU175" i="2"/>
  <c r="BI174" i="2"/>
  <c r="AT175" i="2" s="1"/>
  <c r="AQ175" i="2" l="1"/>
  <c r="BC175" i="2" s="1"/>
  <c r="BB175" i="2" l="1"/>
  <c r="BF175" i="2"/>
  <c r="AX175" i="2"/>
  <c r="BG175" i="2"/>
  <c r="AY175" i="2"/>
  <c r="BI175" i="2" l="1"/>
  <c r="BJ175" i="2"/>
  <c r="AU176" i="2" s="1"/>
  <c r="AR176" i="2"/>
  <c r="AQ176" i="2"/>
  <c r="AT176" i="2"/>
  <c r="BB176" i="2" l="1"/>
  <c r="AX176" i="2"/>
  <c r="BF176" i="2"/>
  <c r="BC176" i="2"/>
  <c r="AY176" i="2"/>
  <c r="BG176" i="2"/>
  <c r="BJ176" i="2" l="1"/>
  <c r="AR177" i="2" s="1"/>
  <c r="BI176" i="2"/>
  <c r="AQ177" i="2" s="1"/>
  <c r="AT177" i="2" l="1"/>
  <c r="BB177" i="2"/>
  <c r="AU177" i="2"/>
  <c r="BC177" i="2"/>
  <c r="BG177" i="2"/>
  <c r="AY177" i="2"/>
  <c r="BF177" i="2"/>
  <c r="AX177" i="2"/>
  <c r="BI177" i="2" l="1"/>
  <c r="AQ178" i="2"/>
  <c r="AT178" i="2"/>
  <c r="BJ177" i="2"/>
  <c r="AU178" i="2" l="1"/>
  <c r="AR178" i="2"/>
  <c r="BF178" i="2" l="1"/>
  <c r="BB178" i="2"/>
  <c r="AX178" i="2"/>
  <c r="BC178" i="2"/>
  <c r="BG178" i="2"/>
  <c r="AY178" i="2"/>
  <c r="BI178" i="2" l="1"/>
  <c r="AQ179" i="2" s="1"/>
  <c r="BJ178" i="2"/>
  <c r="AT179" i="2" l="1"/>
  <c r="AU179" i="2"/>
  <c r="AR179" i="2"/>
  <c r="BB179" i="2" l="1"/>
  <c r="BG179" i="2"/>
  <c r="BC179" i="2"/>
  <c r="AY179" i="2"/>
  <c r="AX179" i="2"/>
  <c r="BF179" i="2"/>
  <c r="BI179" i="2" l="1"/>
  <c r="AT180" i="2"/>
  <c r="AQ180" i="2"/>
  <c r="BJ179" i="2"/>
  <c r="AR180" i="2" l="1"/>
  <c r="AU180" i="2"/>
  <c r="BF180" i="2" l="1"/>
  <c r="AX180" i="2"/>
  <c r="BB180" i="2"/>
  <c r="AY180" i="2"/>
  <c r="BG180" i="2"/>
  <c r="BC180" i="2"/>
  <c r="BI180" i="2" l="1"/>
  <c r="AQ181" i="2" s="1"/>
  <c r="BJ180" i="2"/>
  <c r="AT181" i="2" l="1"/>
  <c r="AR181" i="2"/>
  <c r="AU181" i="2"/>
  <c r="AX181" i="2" l="1"/>
  <c r="AY181" i="2"/>
  <c r="BC181" i="2"/>
  <c r="BG181" i="2"/>
  <c r="BF181" i="2"/>
  <c r="BB181" i="2"/>
  <c r="BJ181" i="2" l="1"/>
  <c r="AR182" i="2" s="1"/>
  <c r="BI181" i="2"/>
  <c r="AU182" i="2" l="1"/>
  <c r="AT182" i="2"/>
  <c r="AQ182" i="2"/>
  <c r="BB182" i="2" l="1"/>
  <c r="BF182" i="2"/>
  <c r="AX182" i="2"/>
  <c r="BG182" i="2"/>
  <c r="AY182" i="2"/>
  <c r="BC182" i="2"/>
  <c r="BJ182" i="2" l="1"/>
  <c r="BI182" i="2"/>
  <c r="AT183" i="2" l="1"/>
  <c r="AQ183" i="2"/>
  <c r="AU183" i="2"/>
  <c r="AR183" i="2"/>
  <c r="AX183" i="2" l="1"/>
  <c r="BB183" i="2"/>
  <c r="BF183" i="2"/>
  <c r="BG183" i="2"/>
  <c r="BC183" i="2"/>
  <c r="AY183" i="2"/>
  <c r="BI183" i="2" l="1"/>
  <c r="AT184" i="2" s="1"/>
  <c r="BJ183" i="2"/>
  <c r="AQ184" i="2"/>
  <c r="AU184" i="2" l="1"/>
  <c r="AR184" i="2"/>
  <c r="BG184" i="2" l="1"/>
  <c r="AY184" i="2"/>
  <c r="BB184" i="2"/>
  <c r="AX184" i="2"/>
  <c r="BF184" i="2"/>
  <c r="BC184" i="2"/>
  <c r="BI184" i="2" l="1"/>
  <c r="BJ184" i="2"/>
  <c r="AU185" i="2" l="1"/>
  <c r="AR185" i="2"/>
  <c r="AQ185" i="2"/>
  <c r="AT185" i="2"/>
  <c r="BC185" i="2" l="1"/>
  <c r="AY185" i="2"/>
  <c r="BG185" i="2"/>
  <c r="BF185" i="2"/>
  <c r="AX185" i="2"/>
  <c r="BB185" i="2"/>
  <c r="BJ185" i="2" l="1"/>
  <c r="AR186" i="2" s="1"/>
  <c r="BI185" i="2"/>
  <c r="AU186" i="2" l="1"/>
  <c r="AT186" i="2"/>
  <c r="AQ186" i="2"/>
  <c r="BB186" i="2" l="1"/>
  <c r="BF186" i="2"/>
  <c r="AX186" i="2"/>
  <c r="BC186" i="2"/>
  <c r="BG186" i="2"/>
  <c r="AY186" i="2"/>
  <c r="BJ186" i="2" l="1"/>
  <c r="BI186" i="2"/>
  <c r="AT187" i="2" l="1"/>
  <c r="AQ187" i="2"/>
  <c r="AU187" i="2"/>
  <c r="AR187" i="2"/>
  <c r="AX187" i="2" l="1"/>
  <c r="BF187" i="2"/>
  <c r="BB187" i="2"/>
  <c r="AY187" i="2"/>
  <c r="BC187" i="2"/>
  <c r="BG187" i="2"/>
  <c r="BJ187" i="2" l="1"/>
  <c r="AU188" i="2" s="1"/>
  <c r="BI187" i="2"/>
  <c r="AR188" i="2" l="1"/>
  <c r="AT188" i="2"/>
  <c r="AQ188" i="2"/>
  <c r="AY188" i="2" l="1"/>
  <c r="BG188" i="2"/>
  <c r="BF188" i="2"/>
  <c r="AX188" i="2"/>
  <c r="BB188" i="2"/>
  <c r="BC188" i="2"/>
  <c r="BJ188" i="2" l="1"/>
  <c r="AR189" i="2"/>
  <c r="AU189" i="2"/>
  <c r="BI188" i="2"/>
  <c r="AT189" i="2" l="1"/>
  <c r="AQ189" i="2"/>
  <c r="AY189" i="2" l="1"/>
  <c r="BC189" i="2"/>
  <c r="BB189" i="2"/>
  <c r="AX189" i="2"/>
  <c r="BF189" i="2"/>
  <c r="BG189" i="2"/>
  <c r="BJ189" i="2" l="1"/>
  <c r="AR190" i="2" s="1"/>
  <c r="BI189" i="2"/>
  <c r="AU190" i="2" l="1"/>
  <c r="AQ190" i="2"/>
  <c r="AT190" i="2"/>
  <c r="BB190" i="2" l="1"/>
  <c r="BF190" i="2"/>
  <c r="BC190" i="2"/>
  <c r="AX190" i="2"/>
  <c r="BI190" i="2" s="1"/>
  <c r="AQ191" i="2" s="1"/>
  <c r="BG190" i="2"/>
  <c r="AY190" i="2"/>
  <c r="AT191" i="2" l="1"/>
  <c r="BJ190" i="2"/>
  <c r="AR191" i="2" s="1"/>
  <c r="AU191" i="2" l="1"/>
  <c r="BG191" i="2"/>
  <c r="BB191" i="2"/>
  <c r="AX191" i="2"/>
  <c r="BF191" i="2"/>
  <c r="AY191" i="2"/>
  <c r="BC191" i="2"/>
  <c r="BJ191" i="2" l="1"/>
  <c r="AR192" i="2" s="1"/>
  <c r="BI191" i="2"/>
  <c r="AT192" i="2" s="1"/>
  <c r="AQ192" i="2" l="1"/>
  <c r="AY192" i="2" s="1"/>
  <c r="AU192" i="2"/>
  <c r="BB192" i="2" l="1"/>
  <c r="AX192" i="2"/>
  <c r="BG192" i="2"/>
  <c r="BF192" i="2"/>
  <c r="BI192" i="2" s="1"/>
  <c r="BC192" i="2"/>
  <c r="BJ192" i="2" s="1"/>
  <c r="AR193" i="2" l="1"/>
  <c r="AU193" i="2"/>
  <c r="AT193" i="2"/>
  <c r="AQ193" i="2"/>
  <c r="BF193" i="2" l="1"/>
  <c r="BB193" i="2"/>
  <c r="AX193" i="2"/>
  <c r="BC193" i="2"/>
  <c r="AY193" i="2"/>
  <c r="BG193" i="2"/>
  <c r="BJ193" i="2" l="1"/>
  <c r="AR194" i="2" s="1"/>
  <c r="AU194" i="2"/>
  <c r="BI193" i="2"/>
  <c r="AQ194" i="2" l="1"/>
  <c r="AT194" i="2"/>
  <c r="BC194" i="2" l="1"/>
  <c r="BG194" i="2"/>
  <c r="BB194" i="2"/>
  <c r="AY194" i="2"/>
  <c r="AX194" i="2"/>
  <c r="BF194" i="2"/>
  <c r="BI194" i="2" l="1"/>
  <c r="BJ194" i="2"/>
  <c r="AT195" i="2" l="1"/>
  <c r="AQ195" i="2"/>
  <c r="AU195" i="2"/>
  <c r="AR195" i="2"/>
  <c r="BB195" i="2" l="1"/>
  <c r="AX195" i="2"/>
  <c r="BF195" i="2"/>
  <c r="BG195" i="2"/>
  <c r="BC195" i="2"/>
  <c r="AY195" i="2"/>
  <c r="BJ195" i="2" l="1"/>
  <c r="AU196" i="2" s="1"/>
  <c r="BI195" i="2"/>
  <c r="AQ196" i="2" s="1"/>
  <c r="AR196" i="2" l="1"/>
  <c r="BC196" i="2" s="1"/>
  <c r="AT196" i="2"/>
  <c r="BB196" i="2" l="1"/>
  <c r="AX196" i="2"/>
  <c r="AY196" i="2"/>
  <c r="BG196" i="2"/>
  <c r="BF196" i="2"/>
  <c r="BI196" i="2" s="1"/>
  <c r="AQ197" i="2" s="1"/>
  <c r="BJ196" i="2" l="1"/>
  <c r="AU197" i="2" s="1"/>
  <c r="AT197" i="2"/>
  <c r="AR197" i="2"/>
  <c r="BF197" i="2" l="1"/>
  <c r="BB197" i="2"/>
  <c r="BG197" i="2"/>
  <c r="AY197" i="2"/>
  <c r="BC197" i="2"/>
  <c r="AX197" i="2"/>
  <c r="BI197" i="2" l="1"/>
  <c r="BJ197" i="2"/>
  <c r="AR198" i="2"/>
  <c r="AU198" i="2"/>
  <c r="AT198" i="2"/>
  <c r="AQ198" i="2"/>
  <c r="BG198" i="2" l="1"/>
  <c r="AY198" i="2"/>
  <c r="BB198" i="2"/>
  <c r="AX198" i="2"/>
  <c r="BF198" i="2"/>
  <c r="BC198" i="2"/>
  <c r="BJ198" i="2" s="1"/>
  <c r="BI198" i="2" l="1"/>
  <c r="AR199" i="2"/>
  <c r="AU199" i="2"/>
  <c r="AQ199" i="2" l="1"/>
  <c r="AT199" i="2"/>
  <c r="BC199" i="2"/>
  <c r="BB199" i="2" l="1"/>
  <c r="BF199" i="2"/>
  <c r="AX199" i="2"/>
  <c r="BG199" i="2"/>
  <c r="AY199" i="2"/>
  <c r="BI199" i="2" l="1"/>
  <c r="AT200" i="2" s="1"/>
  <c r="BJ199" i="2"/>
  <c r="AR200" i="2" s="1"/>
  <c r="AQ200" i="2"/>
  <c r="AU200" i="2" l="1"/>
  <c r="BF200" i="2"/>
  <c r="BC200" i="2"/>
  <c r="AY200" i="2"/>
  <c r="BG200" i="2"/>
  <c r="AX200" i="2"/>
  <c r="BB200" i="2"/>
  <c r="BJ200" i="2" l="1"/>
  <c r="AU201" i="2" s="1"/>
  <c r="BI200" i="2"/>
  <c r="AT201" i="2" s="1"/>
  <c r="AR201" i="2" l="1"/>
  <c r="AQ201" i="2"/>
  <c r="AY201" i="2" l="1"/>
  <c r="AX201" i="2"/>
  <c r="BC201" i="2"/>
  <c r="BB201" i="2"/>
  <c r="BF201" i="2"/>
  <c r="BG201" i="2"/>
  <c r="BJ201" i="2" l="1"/>
  <c r="BI201" i="2"/>
  <c r="AT202" i="2" s="1"/>
  <c r="AU202" i="2"/>
  <c r="AR202" i="2"/>
  <c r="AQ202" i="2" l="1"/>
  <c r="BB202" i="2"/>
  <c r="BG202" i="2"/>
  <c r="BC202" i="2"/>
  <c r="AY202" i="2"/>
  <c r="AX202" i="2"/>
  <c r="BF202" i="2" l="1"/>
  <c r="BI202" i="2" s="1"/>
  <c r="AQ203" i="2" s="1"/>
  <c r="BJ202" i="2"/>
  <c r="AT203" i="2" l="1"/>
  <c r="AR203" i="2"/>
  <c r="AU203" i="2"/>
  <c r="AX203" i="2" l="1"/>
  <c r="BF203" i="2"/>
  <c r="BB203" i="2"/>
  <c r="BG203" i="2"/>
  <c r="AY203" i="2"/>
  <c r="BC203" i="2"/>
  <c r="BI203" i="2" l="1"/>
  <c r="AT204" i="2" s="1"/>
  <c r="BJ203" i="2"/>
  <c r="AQ204" i="2" l="1"/>
  <c r="AU204" i="2"/>
  <c r="AR204" i="2"/>
  <c r="AX204" i="2" l="1"/>
  <c r="BG204" i="2"/>
  <c r="AY204" i="2"/>
  <c r="BC204" i="2"/>
  <c r="BF204" i="2"/>
  <c r="BB204" i="2"/>
  <c r="BI204" i="2" l="1"/>
  <c r="AQ205" i="2" s="1"/>
  <c r="BJ204" i="2"/>
  <c r="AT205" i="2" l="1"/>
  <c r="AU205" i="2"/>
  <c r="AR205" i="2"/>
  <c r="BF205" i="2" l="1"/>
  <c r="BB205" i="2"/>
  <c r="AX205" i="2"/>
  <c r="AY205" i="2"/>
  <c r="BC205" i="2"/>
  <c r="BG205" i="2"/>
  <c r="BI205" i="2" l="1"/>
  <c r="BJ205" i="2"/>
  <c r="AR206" i="2" s="1"/>
  <c r="AT206" i="2"/>
  <c r="AQ206" i="2"/>
  <c r="AY206" i="2" l="1"/>
  <c r="AU206" i="2"/>
  <c r="BB206" i="2"/>
  <c r="BF206" i="2"/>
  <c r="AX206" i="2"/>
  <c r="BG206" i="2"/>
  <c r="BC206" i="2"/>
  <c r="BI206" i="2" l="1"/>
  <c r="AQ207" i="2" s="1"/>
  <c r="BJ206" i="2"/>
  <c r="AU207" i="2" s="1"/>
  <c r="AT207" i="2" l="1"/>
  <c r="AR207" i="2"/>
  <c r="BC207" i="2" l="1"/>
  <c r="BF207" i="2"/>
  <c r="BG207" i="2"/>
  <c r="BB207" i="2"/>
  <c r="AX207" i="2"/>
  <c r="AY207" i="2"/>
  <c r="BJ207" i="2" l="1"/>
  <c r="AU208" i="2" s="1"/>
  <c r="BI207" i="2"/>
  <c r="AR208" i="2"/>
  <c r="AQ208" i="2"/>
  <c r="AT208" i="2"/>
  <c r="BF208" i="2" l="1"/>
  <c r="BB208" i="2"/>
  <c r="AX208" i="2"/>
  <c r="BG208" i="2"/>
  <c r="BC208" i="2"/>
  <c r="AY208" i="2"/>
  <c r="BJ208" i="2" l="1"/>
  <c r="BI208" i="2"/>
  <c r="AT209" i="2" l="1"/>
  <c r="AQ209" i="2"/>
  <c r="AR209" i="2"/>
  <c r="AU209" i="2"/>
  <c r="BC209" i="2" l="1"/>
  <c r="AY209" i="2"/>
  <c r="BG209" i="2"/>
  <c r="AX209" i="2"/>
  <c r="BF209" i="2"/>
  <c r="BB209" i="2"/>
  <c r="BJ209" i="2" l="1"/>
  <c r="AU210" i="2" s="1"/>
  <c r="BI209" i="2"/>
  <c r="AR210" i="2" l="1"/>
  <c r="AQ210" i="2"/>
  <c r="AT210" i="2"/>
  <c r="AY210" i="2" l="1"/>
  <c r="BG210" i="2"/>
  <c r="AX210" i="2"/>
  <c r="BB210" i="2"/>
  <c r="BF210" i="2"/>
  <c r="BC210" i="2"/>
  <c r="BI210" i="2" l="1"/>
  <c r="BJ210" i="2"/>
  <c r="AU211" i="2" l="1"/>
  <c r="AR211" i="2"/>
  <c r="AT211" i="2"/>
  <c r="AQ211" i="2"/>
  <c r="AY211" i="2" l="1"/>
  <c r="BC211" i="2"/>
  <c r="BG211" i="2"/>
  <c r="AX211" i="2"/>
  <c r="BB211" i="2"/>
  <c r="BF211" i="2"/>
  <c r="BJ211" i="2" l="1"/>
  <c r="AU212" i="2" s="1"/>
  <c r="BI211" i="2"/>
  <c r="AT212" i="2" s="1"/>
  <c r="AR212" i="2" l="1"/>
  <c r="AQ212" i="2"/>
  <c r="BF212" i="2" l="1"/>
  <c r="AY212" i="2"/>
  <c r="BC212" i="2"/>
  <c r="BG212" i="2"/>
  <c r="BB212" i="2"/>
  <c r="AX212" i="2"/>
  <c r="BJ212" i="2" l="1"/>
  <c r="AU213" i="2" s="1"/>
  <c r="BI212" i="2"/>
  <c r="AQ213" i="2" s="1"/>
  <c r="AR213" i="2"/>
  <c r="AT213" i="2" l="1"/>
  <c r="BG213" i="2"/>
  <c r="BC213" i="2"/>
  <c r="AY213" i="2"/>
  <c r="BF213" i="2"/>
  <c r="AX213" i="2"/>
  <c r="BB213" i="2"/>
  <c r="BJ213" i="2" l="1"/>
  <c r="BI213" i="2"/>
  <c r="AT214" i="2" l="1"/>
  <c r="AQ214" i="2"/>
  <c r="AR214" i="2"/>
  <c r="AU214" i="2"/>
  <c r="BB214" i="2" l="1"/>
  <c r="BF214" i="2"/>
  <c r="AX214" i="2"/>
  <c r="BG214" i="2"/>
  <c r="AY214" i="2"/>
  <c r="BC214" i="2"/>
  <c r="BJ214" i="2" l="1"/>
  <c r="BI214" i="2"/>
  <c r="AT215" i="2" l="1"/>
  <c r="AQ215" i="2"/>
  <c r="AU215" i="2"/>
  <c r="AR215" i="2"/>
  <c r="BG215" i="2" l="1"/>
  <c r="AY215" i="2"/>
  <c r="BC215" i="2"/>
  <c r="AX215" i="2"/>
  <c r="BB215" i="2"/>
  <c r="BF215" i="2"/>
  <c r="BJ215" i="2" l="1"/>
  <c r="AU216" i="2" s="1"/>
  <c r="BI215" i="2"/>
  <c r="AR216" i="2" l="1"/>
  <c r="AT216" i="2"/>
  <c r="AQ216" i="2"/>
  <c r="BG216" i="2" l="1"/>
  <c r="AX216" i="2"/>
  <c r="BB216" i="2"/>
  <c r="BF216" i="2"/>
  <c r="BC216" i="2"/>
  <c r="AY216" i="2"/>
  <c r="BI216" i="2" l="1"/>
  <c r="BJ216" i="2"/>
  <c r="AU217" i="2" s="1"/>
  <c r="AR217" i="2" l="1"/>
  <c r="AQ217" i="2"/>
  <c r="AT217" i="2"/>
  <c r="BC217" i="2" l="1"/>
  <c r="BF217" i="2"/>
  <c r="AY217" i="2"/>
  <c r="BG217" i="2"/>
  <c r="AX217" i="2"/>
  <c r="BB217" i="2"/>
  <c r="BJ217" i="2" l="1"/>
  <c r="AU218" i="2" s="1"/>
  <c r="BI217" i="2"/>
  <c r="AQ218" i="2" s="1"/>
  <c r="AT218" i="2" l="1"/>
  <c r="AR218" i="2"/>
  <c r="BF218" i="2"/>
  <c r="BG218" i="2"/>
  <c r="BC218" i="2" l="1"/>
  <c r="BB218" i="2"/>
  <c r="AX218" i="2"/>
  <c r="AY218" i="2"/>
  <c r="BJ218" i="2" s="1"/>
  <c r="BI218" i="2" l="1"/>
  <c r="AT219" i="2" s="1"/>
  <c r="AU219" i="2"/>
  <c r="AR219" i="2"/>
  <c r="AQ219" i="2" l="1"/>
  <c r="AY219" i="2" s="1"/>
  <c r="BB219" i="2" l="1"/>
  <c r="BC219" i="2"/>
  <c r="AX219" i="2"/>
  <c r="BF219" i="2"/>
  <c r="BI219" i="2" s="1"/>
  <c r="BG219" i="2"/>
  <c r="BJ219" i="2" s="1"/>
  <c r="AT220" i="2" l="1"/>
  <c r="AQ220" i="2"/>
  <c r="AU220" i="2"/>
  <c r="AR220" i="2"/>
  <c r="BB220" i="2" l="1"/>
  <c r="BF220" i="2"/>
  <c r="AY220" i="2"/>
  <c r="BG220" i="2"/>
  <c r="BC220" i="2"/>
  <c r="AX220" i="2"/>
  <c r="BI220" i="2" l="1"/>
  <c r="AT221" i="2"/>
  <c r="AQ221" i="2"/>
  <c r="BJ220" i="2"/>
  <c r="AR221" i="2" l="1"/>
  <c r="AU221" i="2"/>
  <c r="BG221" i="2" l="1"/>
  <c r="AY221" i="2"/>
  <c r="BC221" i="2"/>
  <c r="AX221" i="2"/>
  <c r="BB221" i="2"/>
  <c r="BF221" i="2"/>
  <c r="BI221" i="2" l="1"/>
  <c r="AQ222" i="2" s="1"/>
  <c r="BJ221" i="2"/>
  <c r="AT222" i="2" l="1"/>
  <c r="AR222" i="2"/>
  <c r="AU222" i="2"/>
  <c r="BB222" i="2" l="1"/>
  <c r="BF222" i="2"/>
  <c r="AX222" i="2"/>
  <c r="BG222" i="2"/>
  <c r="BC222" i="2"/>
  <c r="AY222" i="2"/>
  <c r="BI222" i="2" l="1"/>
  <c r="AT223" i="2" s="1"/>
  <c r="AQ223" i="2"/>
  <c r="BJ222" i="2"/>
  <c r="AU223" i="2" l="1"/>
  <c r="AR223" i="2"/>
  <c r="BG223" i="2" l="1"/>
  <c r="AY223" i="2"/>
  <c r="BC223" i="2"/>
  <c r="BB223" i="2"/>
  <c r="AX223" i="2"/>
  <c r="BF223" i="2"/>
  <c r="BI223" i="2" l="1"/>
  <c r="AT224" i="2" s="1"/>
  <c r="BJ223" i="2"/>
  <c r="AQ224" i="2" l="1"/>
  <c r="AU224" i="2"/>
  <c r="AR224" i="2"/>
  <c r="BF224" i="2" l="1"/>
  <c r="BG224" i="2"/>
  <c r="AY224" i="2"/>
  <c r="BC224" i="2"/>
  <c r="AX224" i="2"/>
  <c r="BB224" i="2"/>
  <c r="BI224" i="2" l="1"/>
  <c r="AT225" i="2" s="1"/>
  <c r="BJ224" i="2"/>
  <c r="AQ225" i="2" l="1"/>
  <c r="AU225" i="2"/>
  <c r="AR225" i="2"/>
  <c r="BF225" i="2" l="1"/>
  <c r="BC225" i="2"/>
  <c r="AY225" i="2"/>
  <c r="BB225" i="2"/>
  <c r="AX225" i="2"/>
  <c r="BG225" i="2"/>
  <c r="BJ225" i="2" l="1"/>
  <c r="AU226" i="2" s="1"/>
  <c r="BI225" i="2"/>
  <c r="AQ226" i="2" s="1"/>
  <c r="AR226" i="2" l="1"/>
  <c r="AT226" i="2"/>
  <c r="BG226" i="2"/>
  <c r="BB226" i="2"/>
  <c r="AX226" i="2"/>
  <c r="BF226" i="2"/>
  <c r="BC226" i="2"/>
  <c r="AY226" i="2"/>
  <c r="BI226" i="2" l="1"/>
  <c r="AT227" i="2" s="1"/>
  <c r="BJ226" i="2"/>
  <c r="AQ227" i="2"/>
  <c r="AU227" i="2" l="1"/>
  <c r="AR227" i="2"/>
  <c r="AX227" i="2" l="1"/>
  <c r="BG227" i="2"/>
  <c r="AY227" i="2"/>
  <c r="BC227" i="2"/>
  <c r="BF227" i="2"/>
  <c r="BB227" i="2"/>
  <c r="BJ227" i="2" l="1"/>
  <c r="BI227" i="2"/>
  <c r="AT228" i="2" s="1"/>
  <c r="AQ228" i="2"/>
  <c r="AU228" i="2"/>
  <c r="AR228" i="2"/>
  <c r="BC228" i="2" l="1"/>
  <c r="BF228" i="2"/>
  <c r="BB228" i="2"/>
  <c r="AY228" i="2"/>
  <c r="BG228" i="2"/>
  <c r="AX228" i="2"/>
  <c r="BI228" i="2" l="1"/>
  <c r="AT229" i="2" s="1"/>
  <c r="BJ228" i="2"/>
  <c r="AQ229" i="2" l="1"/>
  <c r="AU229" i="2"/>
  <c r="AR229" i="2"/>
  <c r="AY229" i="2" l="1"/>
  <c r="BC229" i="2"/>
  <c r="BG229" i="2"/>
  <c r="BF229" i="2"/>
  <c r="AX229" i="2"/>
  <c r="BB229" i="2"/>
  <c r="BJ229" i="2" l="1"/>
  <c r="AU230" i="2" s="1"/>
  <c r="BI229" i="2"/>
  <c r="AQ230" i="2" s="1"/>
  <c r="AT230" i="2" l="1"/>
  <c r="AR230" i="2"/>
  <c r="BG230" i="2" l="1"/>
  <c r="BB230" i="2"/>
  <c r="BF230" i="2"/>
  <c r="AX230" i="2"/>
  <c r="BC230" i="2"/>
  <c r="AY230" i="2"/>
  <c r="BI230" i="2" l="1"/>
  <c r="BJ230" i="2"/>
  <c r="AU231" i="2" s="1"/>
  <c r="AR231" i="2"/>
  <c r="AT231" i="2"/>
  <c r="AQ231" i="2"/>
  <c r="AX231" i="2" l="1"/>
  <c r="BB231" i="2"/>
  <c r="BF231" i="2"/>
  <c r="BG231" i="2"/>
  <c r="BC231" i="2"/>
  <c r="AY231" i="2"/>
  <c r="BI231" i="2" l="1"/>
  <c r="AT232" i="2" s="1"/>
  <c r="BJ231" i="2"/>
  <c r="AQ232" i="2" l="1"/>
  <c r="AU232" i="2"/>
  <c r="AR232" i="2"/>
  <c r="AY232" i="2" l="1"/>
  <c r="BG232" i="2"/>
  <c r="BC232" i="2"/>
  <c r="AX232" i="2"/>
  <c r="BB232" i="2"/>
  <c r="BF232" i="2"/>
  <c r="BI232" i="2" l="1"/>
  <c r="AT233" i="2" s="1"/>
  <c r="BJ232" i="2"/>
  <c r="AQ233" i="2" l="1"/>
  <c r="AR233" i="2"/>
  <c r="AU233" i="2"/>
  <c r="BG233" i="2" l="1"/>
  <c r="AY233" i="2"/>
  <c r="BC233" i="2"/>
  <c r="AX233" i="2"/>
  <c r="BF233" i="2"/>
  <c r="BB233" i="2"/>
  <c r="BI233" i="2" l="1"/>
  <c r="AT234" i="2" s="1"/>
  <c r="BJ233" i="2"/>
  <c r="AQ234" i="2" l="1"/>
  <c r="AR234" i="2"/>
  <c r="AU234" i="2"/>
  <c r="AX234" i="2" l="1"/>
  <c r="BF234" i="2"/>
  <c r="BB234" i="2"/>
  <c r="BG234" i="2"/>
  <c r="AY234" i="2"/>
  <c r="BC234" i="2"/>
  <c r="BI234" i="2" l="1"/>
  <c r="AT235" i="2"/>
  <c r="AQ235" i="2"/>
  <c r="BJ234" i="2"/>
  <c r="AU235" i="2" s="1"/>
  <c r="AR235" i="2" l="1"/>
  <c r="AX235" i="2" l="1"/>
  <c r="BF235" i="2"/>
  <c r="AY235" i="2"/>
  <c r="BC235" i="2"/>
  <c r="BG235" i="2"/>
  <c r="BB235" i="2"/>
  <c r="BI235" i="2" s="1"/>
  <c r="AT236" i="2" s="1"/>
  <c r="BJ235" i="2" l="1"/>
  <c r="AQ236" i="2"/>
  <c r="AU236" i="2"/>
  <c r="AR236" i="2"/>
  <c r="AX236" i="2" l="1"/>
  <c r="BG236" i="2"/>
  <c r="BC236" i="2"/>
  <c r="AY236" i="2"/>
  <c r="BB236" i="2"/>
  <c r="BF236" i="2"/>
  <c r="BI236" i="2" l="1"/>
  <c r="AQ237" i="2" s="1"/>
  <c r="BJ236" i="2"/>
  <c r="AT237" i="2" l="1"/>
  <c r="AU237" i="2"/>
  <c r="AR237" i="2"/>
  <c r="AX237" i="2" l="1"/>
  <c r="BF237" i="2"/>
  <c r="BB237" i="2"/>
  <c r="BG237" i="2"/>
  <c r="AY237" i="2"/>
  <c r="BC237" i="2"/>
  <c r="BI237" i="2" l="1"/>
  <c r="AQ238" i="2" s="1"/>
  <c r="BJ237" i="2"/>
  <c r="AU238" i="2" s="1"/>
  <c r="AT238" i="2" l="1"/>
  <c r="AR238" i="2"/>
  <c r="BF238" i="2" s="1"/>
  <c r="BB238" i="2" l="1"/>
  <c r="AX238" i="2"/>
  <c r="BC238" i="2"/>
  <c r="AY238" i="2"/>
  <c r="BG238" i="2"/>
  <c r="BI238" i="2"/>
  <c r="BJ238" i="2" l="1"/>
  <c r="AU239" i="2" s="1"/>
  <c r="AT239" i="2"/>
  <c r="AQ239" i="2"/>
  <c r="AR239" i="2" l="1"/>
  <c r="BG239" i="2" l="1"/>
  <c r="BF239" i="2"/>
  <c r="AX239" i="2"/>
  <c r="BB239" i="2"/>
  <c r="AY239" i="2"/>
  <c r="BC239" i="2"/>
  <c r="BJ239" i="2" l="1"/>
  <c r="BI239" i="2"/>
  <c r="AU240" i="2"/>
  <c r="AR240" i="2"/>
  <c r="AT240" i="2"/>
  <c r="AQ240" i="2"/>
  <c r="BF240" i="2" l="1"/>
  <c r="AX240" i="2"/>
  <c r="BB240" i="2"/>
  <c r="BC240" i="2"/>
  <c r="BG240" i="2"/>
  <c r="AY240" i="2"/>
  <c r="BJ240" i="2" l="1"/>
  <c r="AU241" i="2" s="1"/>
  <c r="BI240" i="2"/>
  <c r="AR241" i="2" l="1"/>
  <c r="AQ241" i="2"/>
  <c r="AT241" i="2"/>
  <c r="BG241" i="2" l="1"/>
  <c r="BB241" i="2"/>
  <c r="BF241" i="2"/>
  <c r="AX241" i="2"/>
  <c r="BC241" i="2"/>
  <c r="AY241" i="2"/>
  <c r="BJ241" i="2" l="1"/>
  <c r="AU242" i="2" s="1"/>
  <c r="BI241" i="2"/>
  <c r="AR242" i="2" l="1"/>
  <c r="AT242" i="2"/>
  <c r="AQ242" i="2"/>
  <c r="AY242" i="2" l="1"/>
  <c r="BC242" i="2"/>
  <c r="BG242" i="2"/>
  <c r="AX242" i="2"/>
  <c r="BF242" i="2"/>
  <c r="BB242" i="2"/>
  <c r="BJ242" i="2" l="1"/>
  <c r="AR243" i="2" s="1"/>
  <c r="BI242" i="2"/>
  <c r="AU243" i="2" l="1"/>
  <c r="AQ243" i="2"/>
  <c r="AT243" i="2"/>
  <c r="BC243" i="2" l="1"/>
  <c r="BG243" i="2"/>
  <c r="AX243" i="2"/>
  <c r="BB243" i="2"/>
  <c r="BF243" i="2"/>
  <c r="AY243" i="2"/>
  <c r="BI243" i="2" l="1"/>
  <c r="BJ243" i="2"/>
  <c r="AU244" i="2" l="1"/>
  <c r="AR244" i="2"/>
  <c r="AT244" i="2"/>
  <c r="AQ244" i="2"/>
  <c r="BF244" i="2" l="1"/>
  <c r="AX244" i="2"/>
  <c r="BB244" i="2"/>
  <c r="BC244" i="2"/>
  <c r="AY244" i="2"/>
  <c r="BG244" i="2"/>
  <c r="BI244" i="2" l="1"/>
  <c r="BJ244" i="2"/>
  <c r="AU245" i="2" l="1"/>
  <c r="AR245" i="2"/>
  <c r="AT245" i="2"/>
  <c r="AQ245" i="2"/>
  <c r="BF245" i="2" l="1"/>
  <c r="BG245" i="2"/>
  <c r="BC245" i="2"/>
  <c r="AY245" i="2"/>
  <c r="AX245" i="2"/>
  <c r="BB245" i="2"/>
  <c r="BJ245" i="2" l="1"/>
  <c r="BI245" i="2"/>
  <c r="AT246" i="2" l="1"/>
  <c r="AQ246" i="2"/>
  <c r="AU246" i="2"/>
  <c r="AR246" i="2"/>
  <c r="BF246" i="2" l="1"/>
  <c r="BC246" i="2"/>
  <c r="AY246" i="2"/>
  <c r="BG246" i="2"/>
  <c r="AX246" i="2"/>
  <c r="BB246" i="2"/>
  <c r="BJ246" i="2" l="1"/>
  <c r="AU247" i="2" s="1"/>
  <c r="BI246" i="2"/>
  <c r="AT247" i="2" s="1"/>
  <c r="AR247" i="2" l="1"/>
  <c r="AQ247" i="2"/>
  <c r="BG247" i="2" l="1"/>
  <c r="BF247" i="2"/>
  <c r="BB247" i="2"/>
  <c r="AX247" i="2"/>
  <c r="BC247" i="2"/>
  <c r="AY247" i="2"/>
  <c r="BI247" i="2" l="1"/>
  <c r="AT248" i="2" s="1"/>
  <c r="BJ247" i="2"/>
  <c r="AU248" i="2" s="1"/>
  <c r="AQ248" i="2" l="1"/>
  <c r="AR248" i="2"/>
  <c r="BF248" i="2" l="1"/>
  <c r="AY248" i="2"/>
  <c r="BC248" i="2"/>
  <c r="BG248" i="2"/>
  <c r="AX248" i="2"/>
  <c r="BB248" i="2"/>
  <c r="BI248" i="2" l="1"/>
  <c r="BJ248" i="2"/>
  <c r="AT249" i="2"/>
  <c r="AQ249" i="2"/>
  <c r="AU249" i="2"/>
  <c r="AR249" i="2"/>
  <c r="BG249" i="2" l="1"/>
  <c r="AY249" i="2"/>
  <c r="BF249" i="2"/>
  <c r="AX249" i="2"/>
  <c r="BC249" i="2"/>
  <c r="BB249" i="2"/>
  <c r="BI249" i="2" l="1"/>
  <c r="BJ249" i="2"/>
  <c r="AR250" i="2" l="1"/>
  <c r="AU250" i="2"/>
  <c r="AT250" i="2"/>
  <c r="AQ250" i="2"/>
  <c r="AX250" i="2" l="1"/>
  <c r="BF250" i="2"/>
  <c r="BB250" i="2"/>
  <c r="BG250" i="2"/>
  <c r="AY250" i="2"/>
  <c r="BC250" i="2"/>
  <c r="BI250" i="2" l="1"/>
  <c r="BJ250" i="2"/>
  <c r="AR251" i="2" l="1"/>
  <c r="AU251" i="2"/>
  <c r="AT251" i="2"/>
  <c r="AQ251" i="2"/>
  <c r="AX251" i="2" l="1"/>
  <c r="BB251" i="2"/>
  <c r="BF251" i="2"/>
  <c r="BC251" i="2"/>
  <c r="AY251" i="2"/>
  <c r="BG251" i="2"/>
  <c r="BI251" i="2" l="1"/>
  <c r="AQ252" i="2" s="1"/>
  <c r="BJ251" i="2"/>
  <c r="AT252" i="2" l="1"/>
  <c r="AR252" i="2"/>
  <c r="AU252" i="2"/>
  <c r="BC252" i="2" l="1"/>
  <c r="BG252" i="2"/>
  <c r="AY252" i="2"/>
  <c r="AX252" i="2"/>
  <c r="BB252" i="2"/>
  <c r="BF252" i="2"/>
  <c r="BI252" i="2" l="1"/>
  <c r="BJ252" i="2"/>
  <c r="AT253" i="2" l="1"/>
  <c r="AQ253" i="2"/>
  <c r="AU253" i="2"/>
  <c r="AR253" i="2"/>
  <c r="BG253" i="2" l="1"/>
  <c r="AX253" i="2"/>
  <c r="BB253" i="2"/>
  <c r="BF253" i="2"/>
  <c r="AY253" i="2"/>
  <c r="BC253" i="2"/>
  <c r="BI253" i="2" l="1"/>
  <c r="AT254" i="2" s="1"/>
  <c r="BJ253" i="2"/>
  <c r="AQ254" i="2" l="1"/>
  <c r="AU254" i="2"/>
  <c r="AR254" i="2"/>
  <c r="BF254" i="2" l="1"/>
  <c r="AX254" i="2"/>
  <c r="BB254" i="2"/>
  <c r="BC254" i="2"/>
  <c r="AY254" i="2"/>
  <c r="BG254" i="2"/>
  <c r="BI254" i="2" l="1"/>
  <c r="AQ255" i="2" s="1"/>
  <c r="BJ254" i="2"/>
  <c r="AU255" i="2" s="1"/>
  <c r="AR255" i="2" l="1"/>
  <c r="AT255" i="2"/>
  <c r="AY255" i="2"/>
  <c r="AX255" i="2"/>
  <c r="BF255" i="2"/>
  <c r="BB255" i="2"/>
  <c r="BC255" i="2"/>
  <c r="BG255" i="2"/>
  <c r="BJ255" i="2" l="1"/>
  <c r="AU256" i="2" s="1"/>
  <c r="BI255" i="2"/>
  <c r="AR256" i="2" l="1"/>
  <c r="AT256" i="2"/>
  <c r="AQ256" i="2"/>
  <c r="BG256" i="2" l="1"/>
  <c r="BB256" i="2"/>
  <c r="AX256" i="2"/>
  <c r="BF256" i="2"/>
  <c r="AY256" i="2"/>
  <c r="BC256" i="2"/>
  <c r="BI256" i="2" l="1"/>
  <c r="AQ257" i="2" s="1"/>
  <c r="BJ256" i="2"/>
  <c r="AU257" i="2" s="1"/>
  <c r="AT257" i="2" l="1"/>
  <c r="AR257" i="2"/>
  <c r="BG257" i="2" l="1"/>
  <c r="AX257" i="2"/>
  <c r="BC257" i="2"/>
  <c r="AY257" i="2"/>
  <c r="BB257" i="2"/>
  <c r="BF257" i="2"/>
  <c r="BJ257" i="2" l="1"/>
  <c r="BI257" i="2"/>
  <c r="AT258" i="2"/>
  <c r="AQ258" i="2"/>
  <c r="AR258" i="2"/>
  <c r="AU258" i="2"/>
  <c r="BG258" i="2" l="1"/>
  <c r="BC258" i="2"/>
  <c r="AY258" i="2"/>
  <c r="BB258" i="2"/>
  <c r="AX258" i="2"/>
  <c r="BF258" i="2"/>
  <c r="BI258" i="2" l="1"/>
  <c r="AQ259" i="2" s="1"/>
  <c r="BJ258" i="2"/>
  <c r="AT259" i="2" l="1"/>
  <c r="AR259" i="2"/>
  <c r="AX259" i="2" s="1"/>
  <c r="AU259" i="2"/>
  <c r="BB259" i="2" l="1"/>
  <c r="BF259" i="2"/>
  <c r="BG259" i="2"/>
  <c r="AY259" i="2"/>
  <c r="BC259" i="2"/>
  <c r="BI259" i="2" l="1"/>
  <c r="BJ259" i="2"/>
  <c r="AT260" i="2"/>
  <c r="AQ260" i="2"/>
  <c r="AU260" i="2" l="1"/>
  <c r="AR260" i="2"/>
  <c r="BG260" i="2" l="1"/>
  <c r="BC260" i="2"/>
  <c r="AY260" i="2"/>
  <c r="AX260" i="2"/>
  <c r="BF260" i="2"/>
  <c r="BB260" i="2"/>
  <c r="BI260" i="2" l="1"/>
  <c r="AT261" i="2" s="1"/>
  <c r="BJ260" i="2"/>
  <c r="AQ261" i="2" l="1"/>
  <c r="AR261" i="2"/>
  <c r="AU261" i="2"/>
  <c r="BG261" i="2" l="1"/>
  <c r="AY261" i="2"/>
  <c r="BC261" i="2"/>
  <c r="AX261" i="2"/>
  <c r="BB261" i="2"/>
  <c r="BF261" i="2"/>
  <c r="BI261" i="2" l="1"/>
  <c r="AQ262" i="2" s="1"/>
  <c r="BJ261" i="2"/>
  <c r="AT262" i="2" l="1"/>
  <c r="AU262" i="2"/>
  <c r="AR262" i="2"/>
  <c r="BB262" i="2" l="1"/>
  <c r="AX262" i="2"/>
  <c r="BF262" i="2"/>
  <c r="BG262" i="2"/>
  <c r="BC262" i="2"/>
  <c r="AY262" i="2"/>
  <c r="BI262" i="2" l="1"/>
  <c r="AT263" i="2" s="1"/>
  <c r="BJ262" i="2"/>
  <c r="AQ263" i="2" l="1"/>
  <c r="AU263" i="2"/>
  <c r="AR263" i="2"/>
  <c r="BB263" i="2" l="1"/>
  <c r="AX263" i="2"/>
  <c r="BF263" i="2"/>
  <c r="AY263" i="2"/>
  <c r="BC263" i="2"/>
  <c r="BG263" i="2"/>
  <c r="BI263" i="2" l="1"/>
  <c r="AT264" i="2" s="1"/>
  <c r="BJ263" i="2"/>
  <c r="AU264" i="2" s="1"/>
  <c r="AQ264" i="2" l="1"/>
  <c r="AR264" i="2"/>
  <c r="BG264" i="2" l="1"/>
  <c r="BC264" i="2"/>
  <c r="BF264" i="2"/>
  <c r="AX264" i="2"/>
  <c r="BB264" i="2"/>
  <c r="AY264" i="2"/>
  <c r="BJ264" i="2" s="1"/>
  <c r="AR265" i="2" s="1"/>
  <c r="BI264" i="2" l="1"/>
  <c r="AQ265" i="2"/>
  <c r="AT265" i="2"/>
  <c r="AU265" i="2"/>
  <c r="AX265" i="2" l="1"/>
  <c r="BB265" i="2"/>
  <c r="AY265" i="2"/>
  <c r="BC265" i="2"/>
  <c r="BF265" i="2"/>
  <c r="BG265" i="2"/>
  <c r="BI265" i="2" l="1"/>
  <c r="AT266" i="2" s="1"/>
  <c r="BJ265" i="2"/>
  <c r="AR266" i="2" s="1"/>
  <c r="AU266" i="2"/>
  <c r="AQ266" i="2" l="1"/>
  <c r="BG266" i="2" s="1"/>
  <c r="AY266" i="2" l="1"/>
  <c r="BB266" i="2"/>
  <c r="AX266" i="2"/>
  <c r="BC266" i="2"/>
  <c r="BF266" i="2"/>
  <c r="BI266" i="2" s="1"/>
  <c r="AT267" i="2" s="1"/>
  <c r="BJ266" i="2"/>
  <c r="AU267" i="2" s="1"/>
  <c r="AR267" i="2" l="1"/>
  <c r="AQ267" i="2"/>
  <c r="BG267" i="2" l="1"/>
  <c r="AX267" i="2"/>
  <c r="BF267" i="2"/>
  <c r="BC267" i="2"/>
  <c r="BB267" i="2"/>
  <c r="AY267" i="2"/>
  <c r="BJ267" i="2" l="1"/>
  <c r="AR268" i="2" s="1"/>
  <c r="BI267" i="2"/>
  <c r="AT268" i="2" s="1"/>
  <c r="AU268" i="2" l="1"/>
  <c r="AQ268" i="2"/>
  <c r="AX268" i="2" s="1"/>
  <c r="BG268" i="2"/>
  <c r="BC268" i="2"/>
  <c r="AY268" i="2"/>
  <c r="BB268" i="2"/>
  <c r="BF268" i="2" l="1"/>
  <c r="BI268" i="2" s="1"/>
  <c r="BJ268" i="2"/>
  <c r="AU269" i="2" s="1"/>
  <c r="AR269" i="2" l="1"/>
  <c r="AT269" i="2"/>
  <c r="AQ269" i="2"/>
  <c r="BG269" i="2" s="1"/>
  <c r="AX269" i="2" l="1"/>
  <c r="BB269" i="2"/>
  <c r="BF269" i="2"/>
  <c r="BC269" i="2"/>
  <c r="AY269" i="2"/>
  <c r="BI269" i="2" l="1"/>
  <c r="BJ269" i="2"/>
  <c r="AU270" i="2"/>
  <c r="AR270" i="2"/>
  <c r="AT270" i="2"/>
  <c r="AQ270" i="2"/>
  <c r="AX270" i="2" l="1"/>
  <c r="BF270" i="2"/>
  <c r="BB270" i="2"/>
  <c r="BG270" i="2"/>
  <c r="AY270" i="2"/>
  <c r="BC270" i="2"/>
  <c r="BJ270" i="2" l="1"/>
  <c r="BI270" i="2"/>
  <c r="AT271" i="2" l="1"/>
  <c r="AQ271" i="2"/>
  <c r="AR271" i="2"/>
  <c r="AU271" i="2"/>
  <c r="BG271" i="2" l="1"/>
  <c r="BF271" i="2"/>
  <c r="AX271" i="2"/>
  <c r="BB271" i="2"/>
  <c r="AY271" i="2"/>
  <c r="BC271" i="2"/>
  <c r="BI271" i="2" l="1"/>
  <c r="BJ271" i="2"/>
  <c r="AR272" i="2" l="1"/>
  <c r="AU272" i="2"/>
  <c r="AT272" i="2"/>
  <c r="AQ272" i="2"/>
  <c r="BG272" i="2" l="1"/>
  <c r="AY272" i="2"/>
  <c r="BC272" i="2"/>
  <c r="BB272" i="2"/>
  <c r="AX272" i="2"/>
  <c r="BF272" i="2"/>
  <c r="BI272" i="2" l="1"/>
  <c r="AQ273" i="2" s="1"/>
  <c r="BJ272" i="2"/>
  <c r="AT273" i="2" l="1"/>
  <c r="AR273" i="2"/>
  <c r="AU273" i="2"/>
  <c r="AY273" i="2" l="1"/>
  <c r="BC273" i="2"/>
  <c r="BG273" i="2"/>
  <c r="BB273" i="2"/>
  <c r="AX273" i="2"/>
  <c r="BF273" i="2"/>
  <c r="BI273" i="2" l="1"/>
  <c r="AQ274" i="2" s="1"/>
  <c r="BJ273" i="2"/>
  <c r="AU274" i="2" s="1"/>
  <c r="AR274" i="2" l="1"/>
  <c r="BB274" i="2" s="1"/>
  <c r="AT274" i="2"/>
  <c r="BG274" i="2" l="1"/>
  <c r="AX274" i="2"/>
  <c r="BF274" i="2"/>
  <c r="BC274" i="2"/>
  <c r="AY274" i="2"/>
  <c r="BI274" i="2" l="1"/>
  <c r="AT275" i="2" s="1"/>
  <c r="BJ274" i="2"/>
  <c r="AU275" i="2" s="1"/>
  <c r="AR275" i="2"/>
  <c r="AQ275" i="2" l="1"/>
  <c r="AY275" i="2" s="1"/>
  <c r="BC275" i="2" l="1"/>
  <c r="AX275" i="2"/>
  <c r="BF275" i="2"/>
  <c r="BB275" i="2"/>
  <c r="BI275" i="2" s="1"/>
  <c r="BG275" i="2"/>
  <c r="BJ275" i="2" s="1"/>
  <c r="AU276" i="2" s="1"/>
  <c r="AR276" i="2" l="1"/>
  <c r="AT276" i="2"/>
  <c r="AQ276" i="2"/>
  <c r="BF276" i="2" l="1"/>
  <c r="BB276" i="2"/>
  <c r="AX276" i="2"/>
  <c r="AY276" i="2"/>
  <c r="BC276" i="2"/>
  <c r="BG276" i="2"/>
  <c r="BJ276" i="2" l="1"/>
  <c r="AU277" i="2" s="1"/>
  <c r="BI276" i="2"/>
  <c r="AT277" i="2" s="1"/>
  <c r="AQ277" i="2" l="1"/>
  <c r="AR277" i="2"/>
  <c r="BF277" i="2" l="1"/>
  <c r="AY277" i="2"/>
  <c r="BC277" i="2"/>
  <c r="BG277" i="2"/>
  <c r="AX277" i="2"/>
  <c r="BB277" i="2"/>
  <c r="BJ277" i="2" l="1"/>
  <c r="BI277" i="2"/>
  <c r="AT278" i="2" s="1"/>
  <c r="AU278" i="2"/>
  <c r="AR278" i="2"/>
  <c r="AQ278" i="2" l="1"/>
  <c r="AX278" i="2" s="1"/>
  <c r="AY278" i="2" l="1"/>
  <c r="BG278" i="2"/>
  <c r="BC278" i="2"/>
  <c r="BF278" i="2"/>
  <c r="BB278" i="2"/>
  <c r="BI278" i="2" l="1"/>
  <c r="AT279" i="2"/>
  <c r="AQ279" i="2"/>
  <c r="BJ278" i="2"/>
  <c r="AU279" i="2"/>
  <c r="AR279" i="2"/>
  <c r="BG279" i="2" s="1"/>
  <c r="BB279" i="2"/>
  <c r="BF279" i="2" l="1"/>
  <c r="AX279" i="2"/>
  <c r="BC279" i="2"/>
  <c r="AY279" i="2"/>
  <c r="BI279" i="2" l="1"/>
  <c r="AT280" i="2" s="1"/>
  <c r="BJ279" i="2"/>
  <c r="AU280" i="2" s="1"/>
  <c r="AQ280" i="2"/>
  <c r="AR280" i="2"/>
  <c r="BC280" i="2" l="1"/>
  <c r="AX280" i="2"/>
  <c r="BB280" i="2"/>
  <c r="BF280" i="2"/>
  <c r="AY280" i="2"/>
  <c r="BG280" i="2"/>
  <c r="BI280" i="2" l="1"/>
  <c r="BJ280" i="2"/>
  <c r="AQ281" i="2"/>
  <c r="AT281" i="2"/>
  <c r="AR281" i="2"/>
  <c r="AU281" i="2"/>
  <c r="BG281" i="2" l="1"/>
  <c r="AY281" i="2"/>
  <c r="BC281" i="2"/>
  <c r="AX281" i="2"/>
  <c r="BF281" i="2"/>
  <c r="BB281" i="2"/>
  <c r="BI281" i="2" l="1"/>
  <c r="AT282" i="2" s="1"/>
  <c r="BJ281" i="2"/>
  <c r="AQ282" i="2" l="1"/>
  <c r="AR282" i="2"/>
  <c r="AU282" i="2"/>
  <c r="BG282" i="2" l="1"/>
  <c r="BB282" i="2"/>
  <c r="AX282" i="2"/>
  <c r="BF282" i="2"/>
  <c r="AY282" i="2"/>
  <c r="BC282" i="2"/>
  <c r="BI282" i="2" l="1"/>
  <c r="AT283" i="2" s="1"/>
  <c r="BJ282" i="2"/>
  <c r="AU283" i="2" s="1"/>
  <c r="AQ283" i="2" l="1"/>
  <c r="AR283" i="2"/>
  <c r="BG283" i="2" l="1"/>
  <c r="AX283" i="2"/>
  <c r="BF283" i="2"/>
  <c r="BB283" i="2"/>
  <c r="BC283" i="2"/>
  <c r="AY283" i="2"/>
  <c r="BI283" i="2" l="1"/>
  <c r="AT284" i="2" s="1"/>
  <c r="BJ283" i="2"/>
  <c r="AR284" i="2" s="1"/>
  <c r="AQ284" i="2" l="1"/>
  <c r="AY284" i="2" s="1"/>
  <c r="AU284" i="2"/>
  <c r="BC284" i="2" l="1"/>
  <c r="AX284" i="2"/>
  <c r="BG284" i="2"/>
  <c r="BB284" i="2"/>
  <c r="BF284" i="2"/>
  <c r="BI284" i="2" l="1"/>
  <c r="BJ284" i="2"/>
  <c r="AQ285" i="2"/>
  <c r="AT285" i="2"/>
  <c r="AU285" i="2"/>
  <c r="AR285" i="2"/>
  <c r="BG285" i="2" l="1"/>
  <c r="AY285" i="2"/>
  <c r="BC285" i="2"/>
  <c r="BB285" i="2"/>
  <c r="BF285" i="2"/>
  <c r="AX285" i="2"/>
  <c r="BI285" i="2" l="1"/>
  <c r="BJ285" i="2"/>
  <c r="AR286" i="2" l="1"/>
  <c r="AU286" i="2"/>
  <c r="AT286" i="2"/>
  <c r="AQ286" i="2"/>
  <c r="BG286" i="2" l="1"/>
  <c r="BF286" i="2"/>
  <c r="AX286" i="2"/>
  <c r="BB286" i="2"/>
  <c r="AY286" i="2"/>
  <c r="BC286" i="2"/>
  <c r="BI286" i="2" l="1"/>
  <c r="BJ286" i="2"/>
  <c r="AU287" i="2" l="1"/>
  <c r="AR287" i="2"/>
  <c r="AT287" i="2"/>
  <c r="AQ287" i="2"/>
  <c r="BG287" i="2" l="1"/>
  <c r="BC287" i="2"/>
  <c r="AY287" i="2"/>
  <c r="BB287" i="2"/>
  <c r="BF287" i="2"/>
  <c r="AX287" i="2"/>
  <c r="BI287" i="2" l="1"/>
  <c r="BJ287" i="2"/>
  <c r="AU288" i="2" l="1"/>
  <c r="AR288" i="2"/>
  <c r="AT288" i="2"/>
  <c r="AQ288" i="2"/>
  <c r="AY288" i="2" l="1"/>
  <c r="BC288" i="2"/>
  <c r="BG288" i="2"/>
  <c r="AX288" i="2"/>
  <c r="BB288" i="2"/>
  <c r="BF288" i="2"/>
  <c r="BI288" i="2" l="1"/>
  <c r="AT289" i="2" s="1"/>
  <c r="BJ288" i="2"/>
  <c r="AU289" i="2" s="1"/>
  <c r="AR289" i="2" l="1"/>
  <c r="AQ289" i="2"/>
  <c r="BC289" i="2" l="1"/>
  <c r="BB289" i="2"/>
  <c r="AX289" i="2"/>
  <c r="BF289" i="2"/>
  <c r="BG289" i="2"/>
  <c r="AY289" i="2"/>
  <c r="BI289" i="2" l="1"/>
  <c r="BJ289" i="2"/>
  <c r="AU290" i="2" s="1"/>
  <c r="AQ290" i="2"/>
  <c r="AT290" i="2"/>
  <c r="AR290" i="2" l="1"/>
  <c r="AX290" i="2" s="1"/>
  <c r="BF290" i="2" l="1"/>
  <c r="BG290" i="2"/>
  <c r="BC290" i="2"/>
  <c r="AY290" i="2"/>
  <c r="BB290" i="2"/>
  <c r="BI290" i="2" s="1"/>
  <c r="AQ291" i="2" s="1"/>
  <c r="BJ290" i="2" l="1"/>
  <c r="AU291" i="2" s="1"/>
  <c r="AT291" i="2"/>
  <c r="AR291" i="2"/>
  <c r="BB291" i="2" s="1"/>
  <c r="AX291" i="2" l="1"/>
  <c r="BF291" i="2"/>
  <c r="BI291" i="2" s="1"/>
  <c r="BG291" i="2"/>
  <c r="BC291" i="2"/>
  <c r="AY291" i="2"/>
  <c r="BJ291" i="2" l="1"/>
  <c r="AU292" i="2"/>
  <c r="AR292" i="2"/>
  <c r="AT292" i="2"/>
  <c r="AQ292" i="2"/>
  <c r="AX292" i="2" l="1"/>
  <c r="BB292" i="2"/>
  <c r="BF292" i="2"/>
  <c r="BC292" i="2"/>
  <c r="BG292" i="2"/>
  <c r="AY292" i="2"/>
  <c r="BI292" i="2" l="1"/>
  <c r="AQ293" i="2" s="1"/>
  <c r="BJ292" i="2"/>
  <c r="AT293" i="2" l="1"/>
  <c r="AU293" i="2"/>
  <c r="AR293" i="2"/>
  <c r="AY293" i="2" l="1"/>
  <c r="BC293" i="2"/>
  <c r="BG293" i="2"/>
  <c r="AX293" i="2"/>
  <c r="BB293" i="2"/>
  <c r="BF293" i="2"/>
  <c r="BI293" i="2" l="1"/>
  <c r="AT294" i="2" s="1"/>
  <c r="BJ293" i="2"/>
  <c r="AQ294" i="2" l="1"/>
  <c r="AU294" i="2"/>
  <c r="AR294" i="2"/>
  <c r="AX294" i="2" l="1"/>
  <c r="BB294" i="2"/>
  <c r="BF294" i="2"/>
  <c r="AY294" i="2"/>
  <c r="BG294" i="2"/>
  <c r="BC294" i="2"/>
  <c r="BI294" i="2" l="1"/>
  <c r="BJ294" i="2"/>
  <c r="AQ295" i="2"/>
  <c r="AT295" i="2"/>
  <c r="AU295" i="2" l="1"/>
  <c r="AR295" i="2"/>
  <c r="BC295" i="2" l="1"/>
  <c r="BG295" i="2"/>
  <c r="AY295" i="2"/>
  <c r="BB295" i="2"/>
  <c r="BF295" i="2"/>
  <c r="AX295" i="2"/>
  <c r="BJ295" i="2" l="1"/>
  <c r="AR296" i="2" s="1"/>
  <c r="BI295" i="2"/>
  <c r="AU296" i="2" l="1"/>
  <c r="AT296" i="2"/>
  <c r="AQ296" i="2"/>
  <c r="BG296" i="2" l="1"/>
  <c r="BB296" i="2"/>
  <c r="AX296" i="2"/>
  <c r="BF296" i="2"/>
  <c r="BC296" i="2"/>
  <c r="AY296" i="2"/>
  <c r="BI296" i="2" l="1"/>
  <c r="AQ297" i="2" s="1"/>
  <c r="BJ296" i="2"/>
  <c r="AU297" i="2" s="1"/>
  <c r="AR297" i="2" l="1"/>
  <c r="AT297" i="2"/>
  <c r="AX297" i="2"/>
  <c r="BF297" i="2"/>
  <c r="BB297" i="2"/>
  <c r="BG297" i="2"/>
  <c r="AY297" i="2"/>
  <c r="BC297" i="2"/>
  <c r="BJ297" i="2" l="1"/>
  <c r="BI297" i="2"/>
  <c r="AQ298" i="2" l="1"/>
  <c r="AT298" i="2"/>
  <c r="AU298" i="2"/>
  <c r="AR298" i="2"/>
  <c r="AY298" i="2" l="1"/>
  <c r="BC298" i="2"/>
  <c r="BG298" i="2"/>
  <c r="AX298" i="2"/>
  <c r="BB298" i="2"/>
  <c r="BF298" i="2"/>
  <c r="BJ298" i="2" l="1"/>
  <c r="AR299" i="2" s="1"/>
  <c r="BI298" i="2"/>
  <c r="AU299" i="2" l="1"/>
  <c r="AT299" i="2"/>
  <c r="AQ299" i="2"/>
  <c r="AX299" i="2" l="1"/>
  <c r="BF299" i="2"/>
  <c r="BB299" i="2"/>
  <c r="BG299" i="2"/>
  <c r="AY299" i="2"/>
  <c r="BC299" i="2"/>
  <c r="BJ299" i="2" l="1"/>
  <c r="AU300" i="2" s="1"/>
  <c r="BI299" i="2"/>
  <c r="AR300" i="2" l="1"/>
  <c r="AQ300" i="2"/>
  <c r="AT300" i="2"/>
  <c r="AX300" i="2" l="1"/>
  <c r="BB300" i="2"/>
  <c r="BF300" i="2"/>
  <c r="AY300" i="2"/>
  <c r="BG300" i="2"/>
  <c r="BC300" i="2"/>
  <c r="BI300" i="2" l="1"/>
  <c r="AQ301" i="2" s="1"/>
  <c r="BJ300" i="2"/>
  <c r="AT301" i="2" l="1"/>
  <c r="AU301" i="2"/>
  <c r="AR301" i="2"/>
  <c r="BG301" i="2" l="1"/>
  <c r="AY301" i="2"/>
  <c r="BC301" i="2"/>
  <c r="BB301" i="2"/>
  <c r="BF301" i="2"/>
  <c r="AX301" i="2"/>
  <c r="BI301" i="2" l="1"/>
  <c r="BJ301" i="2"/>
  <c r="AU302" i="2" l="1"/>
  <c r="AR302" i="2"/>
  <c r="AQ302" i="2"/>
  <c r="AT302" i="2"/>
  <c r="BF302" i="2" l="1"/>
  <c r="BB302" i="2"/>
  <c r="AX302" i="2"/>
  <c r="AY302" i="2"/>
  <c r="BC302" i="2"/>
  <c r="BG302" i="2"/>
  <c r="BJ302" i="2" l="1"/>
  <c r="AR303" i="2" s="1"/>
  <c r="BI302" i="2"/>
  <c r="AU303" i="2" l="1"/>
  <c r="AQ303" i="2"/>
  <c r="AT303" i="2"/>
  <c r="BB303" i="2" l="1"/>
  <c r="BF303" i="2"/>
  <c r="AX303" i="2"/>
  <c r="AY303" i="2"/>
  <c r="BG303" i="2"/>
  <c r="BC303" i="2"/>
  <c r="BI303" i="2" l="1"/>
  <c r="AT304" i="2" s="1"/>
  <c r="BJ303" i="2"/>
  <c r="AQ304" i="2" l="1"/>
  <c r="AU304" i="2"/>
  <c r="AR304" i="2"/>
  <c r="AX304" i="2" l="1"/>
  <c r="BF304" i="2"/>
  <c r="BG304" i="2"/>
  <c r="BC304" i="2"/>
  <c r="AY304" i="2"/>
  <c r="BB304" i="2"/>
  <c r="BI304" i="2" l="1"/>
  <c r="AT305" i="2" s="1"/>
  <c r="BJ304" i="2"/>
  <c r="AQ305" i="2" l="1"/>
  <c r="AR305" i="2"/>
  <c r="AU305" i="2"/>
  <c r="AY305" i="2" l="1"/>
  <c r="BC305" i="2"/>
  <c r="AX305" i="2"/>
  <c r="BB305" i="2"/>
  <c r="BF305" i="2"/>
  <c r="BG305" i="2"/>
  <c r="BJ305" i="2" l="1"/>
  <c r="AU306" i="2" s="1"/>
  <c r="BI305" i="2"/>
  <c r="AR306" i="2" l="1"/>
  <c r="AQ306" i="2"/>
  <c r="AT306" i="2"/>
  <c r="BB306" i="2" l="1"/>
  <c r="AX306" i="2"/>
  <c r="BF306" i="2"/>
  <c r="AY306" i="2"/>
  <c r="BC306" i="2"/>
  <c r="BG306" i="2"/>
  <c r="BJ306" i="2" l="1"/>
  <c r="AU307" i="2" s="1"/>
  <c r="BI306" i="2"/>
  <c r="AT307" i="2" s="1"/>
  <c r="AR307" i="2"/>
  <c r="AQ307" i="2" l="1"/>
  <c r="BC307" i="2" s="1"/>
  <c r="BB307" i="2" l="1"/>
  <c r="AX307" i="2"/>
  <c r="BF307" i="2"/>
  <c r="AY307" i="2"/>
  <c r="BG307" i="2"/>
  <c r="BJ307" i="2" s="1"/>
  <c r="BI307" i="2"/>
  <c r="AR308" i="2" l="1"/>
  <c r="AU308" i="2"/>
  <c r="AQ308" i="2"/>
  <c r="AT308" i="2"/>
  <c r="BF308" i="2" l="1"/>
  <c r="BB308" i="2"/>
  <c r="AX308" i="2"/>
  <c r="BG308" i="2"/>
  <c r="BC308" i="2"/>
  <c r="AY308" i="2"/>
  <c r="BJ308" i="2" l="1"/>
  <c r="BI308" i="2"/>
  <c r="AT309" i="2" l="1"/>
  <c r="AQ309" i="2"/>
  <c r="AR309" i="2"/>
  <c r="AU309" i="2"/>
  <c r="BC309" i="2" l="1"/>
  <c r="BF309" i="2"/>
  <c r="AX309" i="2"/>
  <c r="BB309" i="2"/>
  <c r="BG309" i="2"/>
  <c r="AY309" i="2"/>
  <c r="BJ309" i="2" l="1"/>
  <c r="BI309" i="2"/>
  <c r="AT310" i="2" l="1"/>
  <c r="AQ310" i="2"/>
  <c r="AU310" i="2"/>
  <c r="AR310" i="2"/>
  <c r="BG310" i="2" l="1"/>
  <c r="AY310" i="2"/>
  <c r="BC310" i="2"/>
  <c r="AX310" i="2"/>
  <c r="BF310" i="2"/>
  <c r="BB310" i="2"/>
  <c r="BI310" i="2" l="1"/>
  <c r="BJ310" i="2"/>
  <c r="AU311" i="2" l="1"/>
  <c r="AR311" i="2"/>
  <c r="AT311" i="2"/>
  <c r="AQ311" i="2"/>
  <c r="AX311" i="2" l="1"/>
  <c r="BB311" i="2"/>
  <c r="BF311" i="2"/>
  <c r="BC311" i="2"/>
  <c r="BG311" i="2"/>
  <c r="AY311" i="2"/>
  <c r="BI311" i="2" l="1"/>
  <c r="AT312" i="2" s="1"/>
  <c r="BJ311" i="2"/>
  <c r="AQ312" i="2" l="1"/>
  <c r="AU312" i="2"/>
  <c r="AR312" i="2"/>
  <c r="BB312" i="2" l="1"/>
  <c r="BG312" i="2"/>
  <c r="BC312" i="2"/>
  <c r="AY312" i="2"/>
  <c r="AX312" i="2"/>
  <c r="BF312" i="2"/>
  <c r="BI312" i="2" l="1"/>
  <c r="BJ312" i="2"/>
  <c r="AR313" i="2" l="1"/>
  <c r="AU313" i="2"/>
  <c r="AT313" i="2"/>
  <c r="AQ313" i="2"/>
  <c r="BF313" i="2" l="1"/>
  <c r="AX313" i="2"/>
  <c r="BB313" i="2"/>
  <c r="BG313" i="2"/>
  <c r="BC313" i="2"/>
  <c r="AY313" i="2"/>
  <c r="BJ313" i="2" l="1"/>
  <c r="BI313" i="2"/>
  <c r="AT314" i="2" l="1"/>
  <c r="AQ314" i="2"/>
  <c r="AR314" i="2"/>
  <c r="AU314" i="2"/>
  <c r="AX314" i="2" l="1"/>
  <c r="BB314" i="2"/>
  <c r="BF314" i="2"/>
  <c r="BG314" i="2"/>
  <c r="AY314" i="2"/>
  <c r="BC314" i="2"/>
  <c r="BI314" i="2" l="1"/>
  <c r="AQ315" i="2" s="1"/>
  <c r="BJ314" i="2"/>
  <c r="AT315" i="2"/>
  <c r="AR315" i="2" l="1"/>
  <c r="AU315" i="2"/>
  <c r="BG315" i="2" l="1"/>
  <c r="AY315" i="2"/>
  <c r="BC315" i="2"/>
  <c r="AX315" i="2"/>
  <c r="BB315" i="2"/>
  <c r="BF315" i="2"/>
  <c r="BI315" i="2" l="1"/>
  <c r="AT316" i="2" s="1"/>
  <c r="BJ315" i="2"/>
  <c r="AQ316" i="2" l="1"/>
  <c r="AU316" i="2"/>
  <c r="AR316" i="2"/>
  <c r="BB316" i="2" l="1"/>
  <c r="AX316" i="2"/>
  <c r="BG316" i="2"/>
  <c r="AY316" i="2"/>
  <c r="BC316" i="2"/>
  <c r="BF316" i="2"/>
  <c r="BI316" i="2" l="1"/>
  <c r="AT317" i="2" s="1"/>
  <c r="BJ316" i="2"/>
  <c r="AQ317" i="2" l="1"/>
  <c r="AR317" i="2"/>
  <c r="AU317" i="2"/>
  <c r="AX317" i="2" l="1"/>
  <c r="BG317" i="2"/>
  <c r="BC317" i="2"/>
  <c r="AY317" i="2"/>
  <c r="BF317" i="2"/>
  <c r="BB317" i="2"/>
  <c r="BI317" i="2" l="1"/>
  <c r="BJ317" i="2"/>
  <c r="AU318" i="2" l="1"/>
  <c r="AR318" i="2"/>
  <c r="AQ318" i="2"/>
  <c r="AT318" i="2"/>
  <c r="BG318" i="2" l="1"/>
  <c r="AY318" i="2"/>
  <c r="BC318" i="2"/>
  <c r="BF318" i="2"/>
  <c r="AX318" i="2"/>
  <c r="BB318" i="2"/>
  <c r="BI318" i="2" l="1"/>
  <c r="BJ318" i="2"/>
  <c r="AU319" i="2" l="1"/>
  <c r="AR319" i="2"/>
  <c r="AT319" i="2"/>
  <c r="AQ319" i="2"/>
  <c r="BC319" i="2" l="1"/>
  <c r="AY319" i="2"/>
  <c r="BG319" i="2"/>
  <c r="BF319" i="2"/>
  <c r="BB319" i="2"/>
  <c r="AX319" i="2"/>
  <c r="BJ319" i="2" l="1"/>
  <c r="AR320" i="2" s="1"/>
  <c r="BI319" i="2"/>
  <c r="AU320" i="2"/>
  <c r="AQ320" i="2" l="1"/>
  <c r="AT320" i="2"/>
  <c r="AX320" i="2" l="1"/>
  <c r="BF320" i="2"/>
  <c r="BB320" i="2"/>
  <c r="BG320" i="2"/>
  <c r="AY320" i="2"/>
  <c r="BC320" i="2"/>
  <c r="BI320" i="2" l="1"/>
  <c r="BJ320" i="2"/>
  <c r="AQ321" i="2" l="1"/>
  <c r="AT321" i="2"/>
  <c r="AR321" i="2"/>
  <c r="AU321" i="2"/>
  <c r="BG321" i="2" l="1"/>
  <c r="AY321" i="2"/>
  <c r="BC321" i="2"/>
  <c r="BF321" i="2"/>
  <c r="AX321" i="2"/>
  <c r="BB321" i="2"/>
  <c r="BI321" i="2" l="1"/>
  <c r="BJ321" i="2"/>
  <c r="AU322" i="2" l="1"/>
  <c r="AR322" i="2"/>
  <c r="AT322" i="2"/>
  <c r="AQ322" i="2"/>
  <c r="BC322" i="2" l="1"/>
  <c r="BB322" i="2"/>
  <c r="BF322" i="2"/>
  <c r="AX322" i="2"/>
  <c r="AY322" i="2"/>
  <c r="BG322" i="2"/>
  <c r="BI322" i="2" l="1"/>
  <c r="AT323" i="2" s="1"/>
  <c r="BJ322" i="2"/>
  <c r="AQ323" i="2" l="1"/>
  <c r="AU323" i="2"/>
  <c r="AR323" i="2"/>
  <c r="BF323" i="2" l="1"/>
  <c r="BB323" i="2"/>
  <c r="AX323" i="2"/>
  <c r="BC323" i="2"/>
  <c r="BG323" i="2"/>
  <c r="AY323" i="2"/>
  <c r="BI323" i="2" l="1"/>
  <c r="BJ323" i="2"/>
  <c r="AQ324" i="2"/>
  <c r="AT324" i="2"/>
  <c r="AU324" i="2" l="1"/>
  <c r="AR324" i="2"/>
  <c r="BF324" i="2" l="1"/>
  <c r="BG324" i="2"/>
  <c r="BC324" i="2"/>
  <c r="AY324" i="2"/>
  <c r="BB324" i="2"/>
  <c r="AX324" i="2"/>
  <c r="BI324" i="2" l="1"/>
  <c r="AT325" i="2" s="1"/>
  <c r="AQ325" i="2"/>
  <c r="BJ324" i="2"/>
  <c r="AR325" i="2" l="1"/>
  <c r="AU325" i="2"/>
  <c r="BF325" i="2"/>
  <c r="AX325" i="2" l="1"/>
  <c r="BB325" i="2"/>
  <c r="BC325" i="2"/>
  <c r="BG325" i="2"/>
  <c r="AY325" i="2"/>
  <c r="BI325" i="2" l="1"/>
  <c r="AQ326" i="2" s="1"/>
  <c r="AT326" i="2"/>
  <c r="BJ325" i="2"/>
  <c r="AU326" i="2" l="1"/>
  <c r="AR326" i="2"/>
  <c r="AX326" i="2" l="1"/>
  <c r="BF326" i="2"/>
  <c r="AY326" i="2"/>
  <c r="BC326" i="2"/>
  <c r="BG326" i="2"/>
  <c r="BB326" i="2"/>
  <c r="BI326" i="2" l="1"/>
  <c r="BJ326" i="2"/>
  <c r="AQ327" i="2" l="1"/>
  <c r="AT327" i="2"/>
  <c r="AR327" i="2"/>
  <c r="AU327" i="2"/>
  <c r="BF327" i="2" l="1"/>
  <c r="AX327" i="2"/>
  <c r="BB327" i="2"/>
  <c r="BC327" i="2"/>
  <c r="BG327" i="2"/>
  <c r="AY327" i="2"/>
  <c r="BI327" i="2" l="1"/>
  <c r="AT328" i="2" s="1"/>
  <c r="BJ327" i="2"/>
  <c r="AQ328" i="2" l="1"/>
  <c r="AU328" i="2"/>
  <c r="AR328" i="2"/>
  <c r="AX328" i="2" l="1"/>
  <c r="BB328" i="2"/>
  <c r="BF328" i="2"/>
  <c r="BG328" i="2"/>
  <c r="AY328" i="2"/>
  <c r="BC328" i="2"/>
  <c r="BI328" i="2" l="1"/>
  <c r="BJ328" i="2"/>
  <c r="AR329" i="2" s="1"/>
  <c r="AT329" i="2"/>
  <c r="AQ329" i="2"/>
  <c r="AU329" i="2" l="1"/>
  <c r="BC329" i="2"/>
  <c r="AY329" i="2"/>
  <c r="BG329" i="2"/>
  <c r="BF329" i="2"/>
  <c r="BB329" i="2"/>
  <c r="AX329" i="2"/>
  <c r="BJ329" i="2" l="1"/>
  <c r="AU330" i="2" s="1"/>
  <c r="BI329" i="2"/>
  <c r="AR330" i="2"/>
  <c r="AT330" i="2" l="1"/>
  <c r="AQ330" i="2"/>
  <c r="BC330" i="2" l="1"/>
  <c r="BG330" i="2"/>
  <c r="AY330" i="2"/>
  <c r="BF330" i="2"/>
  <c r="BB330" i="2"/>
  <c r="AX330" i="2"/>
  <c r="BJ330" i="2" l="1"/>
  <c r="AU331" i="2" s="1"/>
  <c r="BI330" i="2"/>
  <c r="AR331" i="2" l="1"/>
  <c r="AT331" i="2"/>
  <c r="AQ331" i="2"/>
  <c r="BC331" i="2" l="1"/>
  <c r="BB331" i="2"/>
  <c r="AX331" i="2"/>
  <c r="BF331" i="2"/>
  <c r="BG331" i="2"/>
  <c r="AY331" i="2"/>
  <c r="BI331" i="2" l="1"/>
  <c r="AQ332" i="2" s="1"/>
  <c r="BJ331" i="2"/>
  <c r="AU332" i="2" s="1"/>
  <c r="AT332" i="2" l="1"/>
  <c r="AR332" i="2"/>
  <c r="AY332" i="2" s="1"/>
  <c r="AX332" i="2"/>
  <c r="BF332" i="2"/>
  <c r="BB332" i="2" l="1"/>
  <c r="BC332" i="2"/>
  <c r="BG332" i="2"/>
  <c r="BI332" i="2"/>
  <c r="AT333" i="2" s="1"/>
  <c r="BJ332" i="2" l="1"/>
  <c r="AQ333" i="2"/>
  <c r="AU333" i="2"/>
  <c r="AR333" i="2"/>
  <c r="BB333" i="2" l="1"/>
  <c r="AX333" i="2"/>
  <c r="BF333" i="2"/>
  <c r="BG333" i="2"/>
  <c r="AY333" i="2"/>
  <c r="BC333" i="2"/>
  <c r="BI333" i="2" l="1"/>
  <c r="AQ334" i="2" s="1"/>
  <c r="BJ333" i="2"/>
  <c r="AT334" i="2" l="1"/>
  <c r="AR334" i="2"/>
  <c r="AU334" i="2"/>
  <c r="BC334" i="2" l="1"/>
  <c r="AY334" i="2"/>
  <c r="BG334" i="2"/>
  <c r="AX334" i="2"/>
  <c r="BF334" i="2"/>
  <c r="BB334" i="2"/>
  <c r="BJ334" i="2" l="1"/>
  <c r="AU335" i="2" s="1"/>
  <c r="BI334" i="2"/>
  <c r="AR335" i="2" l="1"/>
  <c r="AT335" i="2"/>
  <c r="AQ335" i="2"/>
  <c r="BC335" i="2" l="1"/>
  <c r="BG335" i="2"/>
  <c r="BF335" i="2"/>
  <c r="AX335" i="2"/>
  <c r="BB335" i="2"/>
  <c r="AY335" i="2"/>
  <c r="BJ335" i="2" l="1"/>
  <c r="BI335" i="2"/>
  <c r="AT336" i="2" l="1"/>
  <c r="AQ336" i="2"/>
  <c r="AU336" i="2"/>
  <c r="AR336" i="2"/>
  <c r="BG336" i="2" l="1"/>
  <c r="AY336" i="2"/>
  <c r="BC336" i="2"/>
  <c r="BB336" i="2"/>
  <c r="BF336" i="2"/>
  <c r="AX336" i="2"/>
  <c r="BI336" i="2" l="1"/>
  <c r="BJ336" i="2"/>
  <c r="AR337" i="2" l="1"/>
  <c r="AU337" i="2"/>
  <c r="AQ337" i="2"/>
  <c r="AT337" i="2"/>
  <c r="AX337" i="2" l="1"/>
  <c r="BB337" i="2"/>
  <c r="BF337" i="2"/>
  <c r="AY337" i="2"/>
  <c r="BC337" i="2"/>
  <c r="BG337" i="2"/>
  <c r="BJ337" i="2" l="1"/>
  <c r="AU338" i="2" s="1"/>
  <c r="BI337" i="2"/>
  <c r="AT338" i="2" s="1"/>
  <c r="AQ338" i="2" l="1"/>
  <c r="AR338" i="2"/>
  <c r="AX338" i="2" l="1"/>
  <c r="BC338" i="2"/>
  <c r="BG338" i="2"/>
  <c r="AY338" i="2"/>
  <c r="BF338" i="2"/>
  <c r="BB338" i="2"/>
  <c r="BJ338" i="2" l="1"/>
  <c r="AU339" i="2"/>
  <c r="AR339" i="2"/>
  <c r="BI338" i="2"/>
  <c r="AQ339" i="2" s="1"/>
  <c r="AT339" i="2" l="1"/>
  <c r="BG339" i="2"/>
  <c r="AX339" i="2"/>
  <c r="BB339" i="2"/>
  <c r="BF339" i="2"/>
  <c r="BC339" i="2"/>
  <c r="AY339" i="2"/>
  <c r="BI339" i="2" l="1"/>
  <c r="AQ340" i="2" s="1"/>
  <c r="BJ339" i="2"/>
  <c r="AU340" i="2" s="1"/>
  <c r="AT340" i="2" l="1"/>
  <c r="AR340" i="2"/>
  <c r="BF340" i="2"/>
  <c r="BB340" i="2"/>
  <c r="AY340" i="2"/>
  <c r="BC340" i="2"/>
  <c r="BG340" i="2" l="1"/>
  <c r="BJ340" i="2" s="1"/>
  <c r="AX340" i="2"/>
  <c r="BI340" i="2" s="1"/>
  <c r="AU341" i="2" l="1"/>
  <c r="AR341" i="2"/>
  <c r="AT341" i="2"/>
  <c r="AQ341" i="2"/>
  <c r="BF341" i="2" l="1"/>
  <c r="BC341" i="2"/>
  <c r="BG341" i="2"/>
  <c r="AX341" i="2"/>
  <c r="AY341" i="2"/>
  <c r="BB341" i="2"/>
  <c r="BJ341" i="2" l="1"/>
  <c r="AR342" i="2" s="1"/>
  <c r="BI341" i="2"/>
  <c r="AU342" i="2" l="1"/>
  <c r="AT342" i="2"/>
  <c r="AQ342" i="2"/>
  <c r="AX342" i="2" s="1"/>
  <c r="BF342" i="2" l="1"/>
  <c r="BG342" i="2"/>
  <c r="BC342" i="2"/>
  <c r="AY342" i="2"/>
  <c r="BB342" i="2"/>
  <c r="BI342" i="2" l="1"/>
  <c r="BJ342" i="2"/>
  <c r="AU343" i="2" s="1"/>
  <c r="AR343" i="2"/>
  <c r="AQ343" i="2"/>
  <c r="AY343" i="2" s="1"/>
  <c r="AT343" i="2"/>
  <c r="BG343" i="2" l="1"/>
  <c r="BC343" i="2"/>
  <c r="AX343" i="2"/>
  <c r="BF343" i="2"/>
  <c r="BB343" i="2"/>
  <c r="BJ343" i="2" l="1"/>
  <c r="AR344" i="2" s="1"/>
  <c r="BI343" i="2"/>
  <c r="AQ344" i="2" s="1"/>
  <c r="AU344" i="2"/>
  <c r="BB344" i="2" l="1"/>
  <c r="BG344" i="2"/>
  <c r="BC344" i="2"/>
  <c r="AY344" i="2"/>
  <c r="AT344" i="2"/>
  <c r="AX344" i="2"/>
  <c r="BF344" i="2"/>
  <c r="BJ344" i="2" l="1"/>
  <c r="AR345" i="2" s="1"/>
  <c r="BI344" i="2"/>
  <c r="AQ345" i="2"/>
  <c r="AT345" i="2"/>
  <c r="AU345" i="2" l="1"/>
  <c r="AX345" i="2"/>
  <c r="BF345" i="2"/>
  <c r="BB345" i="2"/>
  <c r="BC345" i="2"/>
  <c r="AY345" i="2"/>
  <c r="BG345" i="2"/>
  <c r="BI345" i="2" l="1"/>
  <c r="BJ345" i="2"/>
  <c r="AR346" i="2" l="1"/>
  <c r="AU346" i="2"/>
  <c r="AQ346" i="2"/>
  <c r="AT346" i="2"/>
  <c r="AY346" i="2" l="1"/>
  <c r="BF346" i="2"/>
  <c r="AX346" i="2"/>
  <c r="BB346" i="2"/>
  <c r="BC346" i="2"/>
  <c r="BG346" i="2"/>
  <c r="BI346" i="2" l="1"/>
  <c r="BJ346" i="2"/>
  <c r="AT347" i="2" l="1"/>
  <c r="AQ347" i="2"/>
  <c r="AU347" i="2"/>
  <c r="AR347" i="2"/>
  <c r="AY347" i="2" l="1"/>
  <c r="BG347" i="2"/>
  <c r="BC347" i="2"/>
  <c r="BF347" i="2"/>
  <c r="AX347" i="2"/>
  <c r="BB347" i="2"/>
  <c r="BI347" i="2" l="1"/>
  <c r="BJ347" i="2"/>
  <c r="AR348" i="2" l="1"/>
  <c r="AU348" i="2"/>
  <c r="AT348" i="2"/>
  <c r="AQ348" i="2"/>
  <c r="AX348" i="2" l="1"/>
  <c r="BB348" i="2"/>
  <c r="BF348" i="2"/>
  <c r="BG348" i="2"/>
  <c r="AY348" i="2"/>
  <c r="BC348" i="2"/>
  <c r="BI348" i="2" l="1"/>
  <c r="AQ349" i="2" s="1"/>
  <c r="BJ348" i="2"/>
  <c r="AT349" i="2" l="1"/>
  <c r="AU349" i="2"/>
  <c r="AR349" i="2"/>
  <c r="BC349" i="2" l="1"/>
  <c r="AY349" i="2"/>
  <c r="BG349" i="2"/>
  <c r="AX349" i="2"/>
  <c r="BB349" i="2"/>
  <c r="BF349" i="2"/>
  <c r="BJ349" i="2" l="1"/>
  <c r="AR350" i="2" s="1"/>
  <c r="BI349" i="2"/>
  <c r="AU350" i="2" l="1"/>
  <c r="AT350" i="2"/>
  <c r="AQ350" i="2"/>
  <c r="BF350" i="2" l="1"/>
  <c r="BB350" i="2"/>
  <c r="AX350" i="2"/>
  <c r="BG350" i="2"/>
  <c r="AY350" i="2"/>
  <c r="BC350" i="2"/>
  <c r="BJ350" i="2" l="1"/>
  <c r="BI350" i="2"/>
  <c r="AQ351" i="2" l="1"/>
  <c r="AT351" i="2"/>
  <c r="AU351" i="2"/>
  <c r="AR351" i="2"/>
  <c r="BG351" i="2" l="1"/>
  <c r="AY351" i="2"/>
  <c r="BC351" i="2"/>
  <c r="BF351" i="2"/>
  <c r="BB351" i="2"/>
  <c r="AX351" i="2"/>
  <c r="BI351" i="2" l="1"/>
  <c r="BJ351" i="2"/>
  <c r="AR352" i="2" l="1"/>
  <c r="AU352" i="2"/>
  <c r="AT352" i="2"/>
  <c r="AQ352" i="2"/>
  <c r="BB352" i="2" l="1"/>
  <c r="BF352" i="2"/>
  <c r="AX352" i="2"/>
  <c r="BG352" i="2"/>
  <c r="BC352" i="2"/>
  <c r="AY352" i="2"/>
  <c r="BJ352" i="2" l="1"/>
  <c r="AR353" i="2" s="1"/>
  <c r="BI352" i="2"/>
  <c r="AU353" i="2" l="1"/>
  <c r="AT353" i="2"/>
  <c r="AQ353" i="2"/>
  <c r="BF353" i="2" l="1"/>
  <c r="AX353" i="2"/>
  <c r="BB353" i="2"/>
  <c r="AY353" i="2"/>
  <c r="BC353" i="2"/>
  <c r="BG353" i="2"/>
  <c r="BJ353" i="2" l="1"/>
  <c r="AU354" i="2" s="1"/>
  <c r="AR354" i="2"/>
  <c r="BI353" i="2"/>
  <c r="AT354" i="2" l="1"/>
  <c r="AQ354" i="2"/>
  <c r="BF354" i="2" l="1"/>
  <c r="AX354" i="2"/>
  <c r="BB354" i="2"/>
  <c r="BC354" i="2"/>
  <c r="AY354" i="2"/>
  <c r="BG354" i="2"/>
  <c r="BJ354" i="2" l="1"/>
  <c r="AR355" i="2" s="1"/>
  <c r="BI354" i="2"/>
  <c r="AU355" i="2" l="1"/>
  <c r="AQ355" i="2"/>
  <c r="BC355" i="2" s="1"/>
  <c r="AT355" i="2"/>
  <c r="AY355" i="2"/>
  <c r="BG355" i="2"/>
  <c r="BJ355" i="2" l="1"/>
  <c r="BB355" i="2"/>
  <c r="BF355" i="2"/>
  <c r="AX355" i="2"/>
  <c r="BI355" i="2" l="1"/>
  <c r="AU356" i="2"/>
  <c r="AR356" i="2"/>
  <c r="AT356" i="2" l="1"/>
  <c r="AQ356" i="2"/>
  <c r="BC356" i="2" l="1"/>
  <c r="AX356" i="2"/>
  <c r="BB356" i="2"/>
  <c r="BF356" i="2"/>
  <c r="BG356" i="2"/>
  <c r="AY356" i="2"/>
  <c r="BI356" i="2" l="1"/>
  <c r="AT357" i="2" s="1"/>
  <c r="BJ356" i="2"/>
  <c r="AR357" i="2" s="1"/>
  <c r="AU357" i="2" l="1"/>
  <c r="AQ357" i="2"/>
  <c r="BC357" i="2" l="1"/>
  <c r="AX357" i="2"/>
  <c r="BB357" i="2"/>
  <c r="AY357" i="2"/>
  <c r="BF357" i="2"/>
  <c r="BG357" i="2"/>
  <c r="BJ357" i="2" l="1"/>
  <c r="BI357" i="2"/>
  <c r="AT358" i="2" s="1"/>
  <c r="AQ358" i="2"/>
  <c r="AR358" i="2"/>
  <c r="AU358" i="2"/>
  <c r="AX358" i="2" l="1"/>
  <c r="BB358" i="2"/>
  <c r="BF358" i="2"/>
  <c r="BC358" i="2"/>
  <c r="AY358" i="2"/>
  <c r="BG358" i="2"/>
  <c r="BI358" i="2" l="1"/>
  <c r="AT359" i="2" s="1"/>
  <c r="BJ358" i="2"/>
  <c r="AR359" i="2" s="1"/>
  <c r="AU359" i="2" l="1"/>
  <c r="AQ359" i="2"/>
  <c r="BC359" i="2" l="1"/>
  <c r="BG359" i="2"/>
  <c r="BB359" i="2"/>
  <c r="AX359" i="2"/>
  <c r="BF359" i="2"/>
  <c r="AY359" i="2"/>
  <c r="BI359" i="2" l="1"/>
  <c r="AQ360" i="2" s="1"/>
  <c r="BJ359" i="2"/>
  <c r="AU360" i="2" s="1"/>
  <c r="AR360" i="2" l="1"/>
  <c r="AY360" i="2" s="1"/>
  <c r="AT360" i="2"/>
  <c r="BG360" i="2" l="1"/>
  <c r="BF360" i="2"/>
  <c r="BC360" i="2"/>
  <c r="AX360" i="2"/>
  <c r="BB360" i="2"/>
  <c r="BJ360" i="2"/>
  <c r="AU361" i="2" s="1"/>
  <c r="BI360" i="2" l="1"/>
  <c r="AR361" i="2"/>
  <c r="AT361" i="2"/>
  <c r="AQ361" i="2"/>
  <c r="BF361" i="2" l="1"/>
  <c r="BB361" i="2"/>
  <c r="AX361" i="2"/>
  <c r="BC361" i="2"/>
  <c r="BG361" i="2"/>
  <c r="AY361" i="2"/>
  <c r="BJ361" i="2" l="1"/>
  <c r="BI361" i="2"/>
  <c r="AQ362" i="2" l="1"/>
  <c r="AT362" i="2"/>
  <c r="AU362" i="2"/>
  <c r="AR362" i="2"/>
  <c r="BG362" i="2" l="1"/>
  <c r="AY362" i="2"/>
  <c r="BC362" i="2"/>
  <c r="BF362" i="2"/>
  <c r="BB362" i="2"/>
  <c r="AX362" i="2"/>
  <c r="BI362" i="2" l="1"/>
  <c r="BJ362" i="2"/>
  <c r="AU363" i="2" l="1"/>
  <c r="AR363" i="2"/>
  <c r="AT363" i="2"/>
  <c r="AQ363" i="2"/>
  <c r="AY363" i="2" l="1"/>
  <c r="BG363" i="2"/>
  <c r="BC363" i="2"/>
  <c r="AX363" i="2"/>
  <c r="BB363" i="2"/>
  <c r="BF363" i="2"/>
  <c r="BI363" i="2" l="1"/>
  <c r="AT364" i="2" s="1"/>
  <c r="BJ363" i="2"/>
  <c r="AQ364" i="2" l="1"/>
  <c r="AU364" i="2"/>
  <c r="AR364" i="2"/>
  <c r="AX364" i="2" l="1"/>
  <c r="AY364" i="2"/>
  <c r="BG364" i="2"/>
  <c r="BB364" i="2"/>
  <c r="BF364" i="2"/>
  <c r="BC364" i="2"/>
  <c r="BI364" i="2" l="1"/>
  <c r="BJ364" i="2"/>
  <c r="AU365" i="2" l="1"/>
  <c r="AR365" i="2"/>
  <c r="AT365" i="2"/>
  <c r="AQ365" i="2"/>
  <c r="BG365" i="2" l="1"/>
  <c r="AY365" i="2"/>
  <c r="BC365" i="2"/>
  <c r="BB365" i="2"/>
  <c r="AX365" i="2"/>
  <c r="BF365" i="2"/>
  <c r="BI365" i="2" l="1"/>
  <c r="AT366" i="2" s="1"/>
  <c r="BJ365" i="2"/>
  <c r="AQ366" i="2" l="1"/>
  <c r="AU366" i="2"/>
  <c r="AR366" i="2"/>
  <c r="BF366" i="2" l="1"/>
  <c r="BB366" i="2"/>
  <c r="BG366" i="2"/>
  <c r="AY366" i="2"/>
  <c r="BC366" i="2"/>
  <c r="AX366" i="2"/>
  <c r="BI366" i="2" l="1"/>
  <c r="AT367" i="2" s="1"/>
  <c r="BJ366" i="2"/>
  <c r="AQ367" i="2" l="1"/>
  <c r="AR367" i="2"/>
  <c r="AU367" i="2"/>
  <c r="BG367" i="2" l="1"/>
  <c r="AY367" i="2"/>
  <c r="BC367" i="2"/>
  <c r="AX367" i="2"/>
  <c r="BB367" i="2"/>
  <c r="BF367" i="2"/>
  <c r="BI367" i="2" l="1"/>
  <c r="AT368" i="2"/>
  <c r="AQ368" i="2"/>
  <c r="BJ367" i="2"/>
  <c r="AR368" i="2" l="1"/>
  <c r="AU368" i="2"/>
  <c r="BG368" i="2" l="1"/>
  <c r="BC368" i="2"/>
  <c r="AY368" i="2"/>
  <c r="AX368" i="2"/>
  <c r="BF368" i="2"/>
  <c r="BB368" i="2"/>
  <c r="BI368" i="2" l="1"/>
  <c r="AT369" i="2" s="1"/>
  <c r="BJ368" i="2"/>
  <c r="AQ369" i="2" l="1"/>
  <c r="AU369" i="2"/>
  <c r="AR369" i="2"/>
  <c r="BF369" i="2" l="1"/>
  <c r="BG369" i="2"/>
  <c r="AY369" i="2"/>
  <c r="BC369" i="2"/>
  <c r="AX369" i="2"/>
  <c r="BB369" i="2"/>
  <c r="BJ369" i="2" l="1"/>
  <c r="BI369" i="2"/>
  <c r="AT370" i="2" l="1"/>
  <c r="AQ370" i="2"/>
  <c r="AR370" i="2"/>
  <c r="AU370" i="2"/>
  <c r="AX370" i="2" l="1"/>
  <c r="BF370" i="2"/>
  <c r="BB370" i="2"/>
  <c r="BG370" i="2"/>
  <c r="BC370" i="2"/>
  <c r="AY370" i="2"/>
  <c r="BI370" i="2" l="1"/>
  <c r="AT371" i="2" s="1"/>
  <c r="BJ370" i="2"/>
  <c r="AQ371" i="2" l="1"/>
  <c r="AU371" i="2"/>
  <c r="AR371" i="2"/>
  <c r="AX371" i="2" l="1"/>
  <c r="BB371" i="2"/>
  <c r="BF371" i="2"/>
  <c r="BC371" i="2"/>
  <c r="BG371" i="2"/>
  <c r="AY371" i="2"/>
  <c r="BI371" i="2" l="1"/>
  <c r="BJ371" i="2"/>
  <c r="AT372" i="2"/>
  <c r="AQ372" i="2"/>
  <c r="AU372" i="2" l="1"/>
  <c r="AR372" i="2"/>
  <c r="BF372" i="2" l="1"/>
  <c r="BC372" i="2"/>
  <c r="AY372" i="2"/>
  <c r="BG372" i="2"/>
  <c r="BB372" i="2"/>
  <c r="AX372" i="2"/>
  <c r="BJ372" i="2" l="1"/>
  <c r="AR373" i="2" s="1"/>
  <c r="BI372" i="2"/>
  <c r="AT373" i="2" s="1"/>
  <c r="AU373" i="2" l="1"/>
  <c r="AQ373" i="2"/>
  <c r="BC373" i="2" l="1"/>
  <c r="AX373" i="2"/>
  <c r="BG373" i="2"/>
  <c r="AY373" i="2"/>
  <c r="BF373" i="2"/>
  <c r="BB373" i="2"/>
  <c r="BJ373" i="2" l="1"/>
  <c r="AU374" i="2" s="1"/>
  <c r="BI373" i="2"/>
  <c r="AT374" i="2" s="1"/>
  <c r="AQ374" i="2" l="1"/>
  <c r="AR374" i="2"/>
  <c r="BG374" i="2" l="1"/>
  <c r="BB374" i="2"/>
  <c r="AX374" i="2"/>
  <c r="BF374" i="2"/>
  <c r="BC374" i="2"/>
  <c r="AY374" i="2"/>
  <c r="BI374" i="2" l="1"/>
  <c r="AQ375" i="2" s="1"/>
  <c r="BJ374" i="2"/>
  <c r="AU375" i="2" s="1"/>
  <c r="AR375" i="2"/>
  <c r="AT375" i="2" l="1"/>
  <c r="BB375" i="2"/>
  <c r="BF375" i="2"/>
  <c r="AY375" i="2"/>
  <c r="BG375" i="2"/>
  <c r="BC375" i="2"/>
  <c r="AX375" i="2"/>
  <c r="BJ375" i="2" l="1"/>
  <c r="AU376" i="2" s="1"/>
  <c r="BI375" i="2"/>
  <c r="AR376" i="2" l="1"/>
  <c r="AT376" i="2"/>
  <c r="AQ376" i="2"/>
  <c r="BB376" i="2" l="1"/>
  <c r="AX376" i="2"/>
  <c r="BF376" i="2"/>
  <c r="BC376" i="2"/>
  <c r="BG376" i="2"/>
  <c r="AY376" i="2"/>
  <c r="BI376" i="2" l="1"/>
  <c r="AT377" i="2" s="1"/>
  <c r="BJ376" i="2"/>
  <c r="AQ377" i="2" l="1"/>
  <c r="AR377" i="2"/>
  <c r="AU377" i="2"/>
  <c r="AX377" i="2" l="1"/>
  <c r="BC377" i="2"/>
  <c r="BG377" i="2"/>
  <c r="AY377" i="2"/>
  <c r="BB377" i="2"/>
  <c r="BF377" i="2"/>
  <c r="BI377" i="2" l="1"/>
  <c r="BJ377" i="2"/>
  <c r="AU378" i="2" l="1"/>
  <c r="AR378" i="2"/>
  <c r="AT378" i="2"/>
  <c r="AQ378" i="2"/>
  <c r="BF378" i="2" l="1"/>
  <c r="AX378" i="2"/>
  <c r="BB378" i="2"/>
  <c r="BG378" i="2"/>
  <c r="BC378" i="2"/>
  <c r="AY378" i="2"/>
  <c r="BJ378" i="2" l="1"/>
  <c r="BI378" i="2"/>
  <c r="AT379" i="2" l="1"/>
  <c r="AQ379" i="2"/>
  <c r="AU379" i="2"/>
  <c r="AR379" i="2"/>
  <c r="AX379" i="2" l="1"/>
  <c r="BB379" i="2"/>
  <c r="BF379" i="2"/>
  <c r="AY379" i="2"/>
  <c r="BC379" i="2"/>
  <c r="BG379" i="2"/>
  <c r="BI379" i="2" l="1"/>
  <c r="AT380" i="2" s="1"/>
  <c r="BJ379" i="2"/>
  <c r="AQ380" i="2" l="1"/>
  <c r="AU380" i="2"/>
  <c r="AR380" i="2"/>
  <c r="BB380" i="2" l="1"/>
  <c r="AX380" i="2"/>
  <c r="AY380" i="2"/>
  <c r="BG380" i="2"/>
  <c r="BC380" i="2"/>
  <c r="BF380" i="2"/>
  <c r="BI380" i="2" l="1"/>
  <c r="AT381" i="2" s="1"/>
  <c r="BJ380" i="2"/>
  <c r="AQ381" i="2" l="1"/>
  <c r="AU381" i="2"/>
  <c r="AR381" i="2"/>
  <c r="BB381" i="2" l="1"/>
  <c r="AX381" i="2"/>
  <c r="BF381" i="2"/>
  <c r="AY381" i="2"/>
  <c r="BG381" i="2"/>
  <c r="BC381" i="2"/>
  <c r="BI381" i="2" l="1"/>
  <c r="AQ382" i="2" s="1"/>
  <c r="BJ381" i="2"/>
  <c r="AT382" i="2" l="1"/>
  <c r="AR382" i="2"/>
  <c r="AU382" i="2"/>
  <c r="BF382" i="2" l="1"/>
  <c r="BG382" i="2"/>
  <c r="AY382" i="2"/>
  <c r="BC382" i="2"/>
  <c r="BB382" i="2"/>
  <c r="AX382" i="2"/>
  <c r="BJ382" i="2" l="1"/>
  <c r="BI382" i="2"/>
  <c r="AT383" i="2" l="1"/>
  <c r="AQ383" i="2"/>
  <c r="AU383" i="2"/>
  <c r="AR383" i="2"/>
  <c r="BF383" i="2" l="1"/>
  <c r="AY383" i="2"/>
  <c r="BC383" i="2"/>
  <c r="BG383" i="2"/>
  <c r="BB383" i="2"/>
  <c r="AX383" i="2"/>
  <c r="BJ383" i="2" l="1"/>
  <c r="AU384" i="2" s="1"/>
  <c r="BI383" i="2"/>
  <c r="AR384" i="2" l="1"/>
  <c r="AT384" i="2"/>
  <c r="AQ384" i="2"/>
  <c r="BB384" i="2" l="1"/>
  <c r="AX384" i="2"/>
  <c r="BG384" i="2"/>
  <c r="BC384" i="2"/>
  <c r="AY384" i="2"/>
  <c r="BF384" i="2"/>
  <c r="BJ384" i="2" l="1"/>
  <c r="BI384" i="2"/>
  <c r="AU385" i="2" l="1"/>
  <c r="AR385" i="2"/>
  <c r="AQ385" i="2"/>
  <c r="AT385" i="2"/>
  <c r="BB385" i="2" l="1"/>
  <c r="AX385" i="2"/>
  <c r="BF385" i="2"/>
  <c r="AY385" i="2"/>
  <c r="BC385" i="2"/>
  <c r="BG385" i="2"/>
  <c r="BI385" i="2" l="1"/>
  <c r="AT386" i="2" s="1"/>
  <c r="AQ386" i="2"/>
  <c r="BJ385" i="2"/>
  <c r="AR386" i="2" l="1"/>
  <c r="AU386" i="2"/>
  <c r="BF386" i="2" l="1"/>
  <c r="BC386" i="2"/>
  <c r="BG386" i="2"/>
  <c r="AY386" i="2"/>
  <c r="AX386" i="2"/>
  <c r="BB386" i="2"/>
  <c r="BJ386" i="2" l="1"/>
  <c r="BI386" i="2"/>
  <c r="AT387" i="2" l="1"/>
  <c r="AQ387" i="2"/>
  <c r="AU387" i="2"/>
  <c r="AR387" i="2"/>
  <c r="BB387" i="2" l="1"/>
  <c r="AX387" i="2"/>
  <c r="BF387" i="2"/>
  <c r="BG387" i="2"/>
  <c r="BC387" i="2"/>
  <c r="AY387" i="2"/>
  <c r="BI387" i="2" l="1"/>
  <c r="AT388" i="2" s="1"/>
  <c r="BJ387" i="2"/>
  <c r="AQ388" i="2" l="1"/>
  <c r="AU388" i="2"/>
  <c r="AR388" i="2"/>
  <c r="BC388" i="2" l="1"/>
  <c r="BG388" i="2"/>
  <c r="AY388" i="2"/>
  <c r="BF388" i="2"/>
  <c r="AX388" i="2"/>
  <c r="BB388" i="2"/>
  <c r="BJ388" i="2" l="1"/>
  <c r="BI388" i="2"/>
  <c r="AR389" i="2" l="1"/>
  <c r="AU389" i="2"/>
  <c r="AT389" i="2"/>
  <c r="AQ389" i="2"/>
  <c r="AX389" i="2" l="1"/>
  <c r="BB389" i="2"/>
  <c r="BF389" i="2"/>
  <c r="BG389" i="2"/>
  <c r="AY389" i="2"/>
  <c r="BC389" i="2"/>
  <c r="BI389" i="2" l="1"/>
  <c r="AQ390" i="2" s="1"/>
  <c r="BJ389" i="2"/>
  <c r="AT390" i="2" l="1"/>
  <c r="AU390" i="2"/>
  <c r="AR390" i="2"/>
  <c r="BG390" i="2" l="1"/>
  <c r="AY390" i="2"/>
  <c r="BC390" i="2"/>
  <c r="BB390" i="2"/>
  <c r="AX390" i="2"/>
  <c r="BF390" i="2"/>
  <c r="BI390" i="2" l="1"/>
  <c r="AT391" i="2" s="1"/>
  <c r="BJ390" i="2"/>
  <c r="AU391" i="2" s="1"/>
  <c r="AR391" i="2" l="1"/>
  <c r="AQ391" i="2"/>
  <c r="BG391" i="2" l="1"/>
  <c r="AX391" i="2"/>
  <c r="BF391" i="2"/>
  <c r="BB391" i="2"/>
  <c r="BC391" i="2"/>
  <c r="AY391" i="2"/>
  <c r="BJ391" i="2" l="1"/>
  <c r="BI391" i="2"/>
  <c r="AU392" i="2"/>
  <c r="AR392" i="2"/>
  <c r="AT392" i="2"/>
  <c r="AQ392" i="2"/>
  <c r="BG392" i="2" l="1"/>
  <c r="BC392" i="2"/>
  <c r="AY392" i="2"/>
  <c r="AX392" i="2"/>
  <c r="BF392" i="2"/>
  <c r="BB392" i="2"/>
  <c r="BI392" i="2" l="1"/>
  <c r="BJ392" i="2"/>
  <c r="AU393" i="2" l="1"/>
  <c r="AR393" i="2"/>
  <c r="AT393" i="2"/>
  <c r="AQ393" i="2"/>
  <c r="BC393" i="2" l="1"/>
  <c r="BG393" i="2"/>
  <c r="AY393" i="2"/>
  <c r="BB393" i="2"/>
  <c r="AX393" i="2"/>
  <c r="BF393" i="2"/>
  <c r="BJ393" i="2" l="1"/>
  <c r="AU394" i="2" s="1"/>
  <c r="BI393" i="2"/>
  <c r="AT394" i="2" s="1"/>
  <c r="AR394" i="2" l="1"/>
  <c r="AQ394" i="2"/>
  <c r="AY394" i="2" l="1"/>
  <c r="BF394" i="2"/>
  <c r="AX394" i="2"/>
  <c r="BB394" i="2"/>
  <c r="BG394" i="2"/>
  <c r="BC394" i="2"/>
  <c r="BI394" i="2" l="1"/>
  <c r="AT395" i="2" s="1"/>
  <c r="BJ394" i="2"/>
  <c r="AU395" i="2" s="1"/>
  <c r="AQ395" i="2"/>
  <c r="AR395" i="2" l="1"/>
  <c r="BC395" i="2" l="1"/>
  <c r="BG395" i="2"/>
  <c r="BF395" i="2"/>
  <c r="AX395" i="2"/>
  <c r="AY395" i="2"/>
  <c r="BB395" i="2"/>
  <c r="BI395" i="2" l="1"/>
  <c r="AT396" i="2" s="1"/>
  <c r="BJ395" i="2"/>
  <c r="AR396" i="2" s="1"/>
  <c r="AQ396" i="2"/>
  <c r="AU396" i="2" l="1"/>
  <c r="BB396" i="2"/>
  <c r="AX396" i="2"/>
  <c r="BC396" i="2"/>
  <c r="AY396" i="2"/>
  <c r="BF396" i="2"/>
  <c r="BI396" i="2" s="1"/>
  <c r="BG396" i="2"/>
  <c r="BJ396" i="2" l="1"/>
  <c r="AU397" i="2" s="1"/>
  <c r="AT397" i="2"/>
  <c r="AQ397" i="2"/>
  <c r="AR397" i="2" l="1"/>
  <c r="BF397" i="2" s="1"/>
  <c r="AY397" i="2" l="1"/>
  <c r="BG397" i="2"/>
  <c r="BC397" i="2"/>
  <c r="AX397" i="2"/>
  <c r="BB397" i="2"/>
  <c r="BI397" i="2" l="1"/>
  <c r="BJ397" i="2"/>
  <c r="AR398" i="2" s="1"/>
  <c r="AT398" i="2"/>
  <c r="AQ398" i="2"/>
  <c r="AU398" i="2" l="1"/>
  <c r="AX398" i="2"/>
  <c r="BG398" i="2"/>
  <c r="BC398" i="2"/>
  <c r="AY398" i="2"/>
  <c r="BB398" i="2"/>
  <c r="BF398" i="2"/>
  <c r="BJ398" i="2" l="1"/>
  <c r="AU399" i="2" s="1"/>
  <c r="BI398" i="2"/>
  <c r="AT399" i="2" s="1"/>
  <c r="AQ399" i="2" l="1"/>
  <c r="AR399" i="2"/>
  <c r="AY399" i="2" l="1"/>
  <c r="BB399" i="2"/>
  <c r="BF399" i="2"/>
  <c r="AX399" i="2"/>
  <c r="BC399" i="2"/>
  <c r="BG399" i="2"/>
  <c r="BI399" i="2" l="1"/>
  <c r="AQ400" i="2" s="1"/>
  <c r="BJ399" i="2"/>
  <c r="AU400" i="2" s="1"/>
  <c r="AR400" i="2" l="1"/>
  <c r="BG400" i="2" s="1"/>
  <c r="AT400" i="2"/>
  <c r="BF400" i="2" l="1"/>
  <c r="BC400" i="2"/>
  <c r="AY400" i="2"/>
  <c r="BB400" i="2"/>
  <c r="AX400" i="2"/>
  <c r="BJ400" i="2" l="1"/>
  <c r="AU401" i="2" s="1"/>
  <c r="BI400" i="2"/>
  <c r="AT401" i="2" s="1"/>
  <c r="AQ401" i="2" l="1"/>
  <c r="AR401" i="2"/>
  <c r="BB401" i="2" s="1"/>
  <c r="BC401" i="2"/>
  <c r="AY401" i="2"/>
  <c r="AX401" i="2"/>
  <c r="BF401" i="2"/>
  <c r="BG401" i="2" l="1"/>
  <c r="BJ401" i="2" s="1"/>
  <c r="BI401" i="2"/>
  <c r="AT402" i="2" s="1"/>
  <c r="AU402" i="2" l="1"/>
  <c r="AR402" i="2"/>
  <c r="AQ402" i="2"/>
  <c r="BF402" i="2" s="1"/>
  <c r="BC402" i="2" l="1"/>
  <c r="AX402" i="2"/>
  <c r="BB402" i="2"/>
  <c r="AY402" i="2"/>
  <c r="BG402" i="2"/>
  <c r="BI402" i="2" l="1"/>
  <c r="BJ402" i="2"/>
  <c r="AT403" i="2"/>
  <c r="AQ403" i="2"/>
  <c r="AR403" i="2"/>
  <c r="AU403" i="2"/>
  <c r="AX403" i="2" l="1"/>
  <c r="BG403" i="2"/>
  <c r="AY403" i="2"/>
  <c r="BC403" i="2"/>
  <c r="BB403" i="2"/>
  <c r="BF403" i="2"/>
  <c r="BI403" i="2" l="1"/>
  <c r="AQ404" i="2" s="1"/>
  <c r="BJ403" i="2"/>
  <c r="AT404" i="2" l="1"/>
  <c r="AR404" i="2"/>
  <c r="AU404" i="2"/>
  <c r="AY404" i="2" l="1"/>
  <c r="BG404" i="2"/>
  <c r="BC404" i="2"/>
  <c r="BF404" i="2"/>
  <c r="BB404" i="2"/>
  <c r="AX404" i="2"/>
  <c r="BJ404" i="2" l="1"/>
  <c r="AU405" i="2" s="1"/>
  <c r="BI404" i="2"/>
  <c r="AR405" i="2" l="1"/>
  <c r="AT405" i="2"/>
  <c r="AQ405" i="2"/>
  <c r="BG405" i="2" l="1"/>
  <c r="BC405" i="2"/>
  <c r="AY405" i="2"/>
  <c r="BF405" i="2"/>
  <c r="BB405" i="2"/>
  <c r="AX405" i="2"/>
  <c r="BJ405" i="2" l="1"/>
  <c r="BI405" i="2"/>
  <c r="AU406" i="2"/>
  <c r="AR406" i="2"/>
  <c r="AT406" i="2" l="1"/>
  <c r="AQ406" i="2"/>
  <c r="BB406" i="2" l="1"/>
  <c r="BF406" i="2"/>
  <c r="BC406" i="2"/>
  <c r="BG406" i="2"/>
  <c r="AY406" i="2"/>
  <c r="AX406" i="2"/>
  <c r="BJ406" i="2" l="1"/>
  <c r="AR407" i="2" s="1"/>
  <c r="BI406" i="2"/>
  <c r="AU407" i="2" l="1"/>
  <c r="AT407" i="2"/>
  <c r="AQ407" i="2"/>
  <c r="AY407" i="2" l="1"/>
  <c r="BC407" i="2"/>
  <c r="BB407" i="2"/>
  <c r="AX407" i="2"/>
  <c r="BF407" i="2"/>
  <c r="BG407" i="2"/>
  <c r="BJ407" i="2" l="1"/>
  <c r="AR408" i="2" s="1"/>
  <c r="BI407" i="2"/>
  <c r="AQ408" i="2" s="1"/>
  <c r="AU408" i="2" l="1"/>
  <c r="AT408" i="2"/>
  <c r="BG408" i="2"/>
  <c r="BC408" i="2"/>
  <c r="AY408" i="2"/>
  <c r="BF408" i="2"/>
  <c r="BB408" i="2"/>
  <c r="AX408" i="2"/>
  <c r="BJ408" i="2" l="1"/>
  <c r="AR409" i="2" s="1"/>
  <c r="BI408" i="2"/>
  <c r="AU409" i="2" l="1"/>
  <c r="AQ409" i="2"/>
  <c r="AT409" i="2"/>
  <c r="BB409" i="2" l="1"/>
  <c r="BF409" i="2"/>
  <c r="AX409" i="2"/>
  <c r="BC409" i="2"/>
  <c r="BG409" i="2"/>
  <c r="AY409" i="2"/>
  <c r="BJ409" i="2" l="1"/>
  <c r="BI409" i="2"/>
  <c r="AT410" i="2" l="1"/>
  <c r="AQ410" i="2"/>
  <c r="AU410" i="2"/>
  <c r="AR410" i="2"/>
  <c r="BG410" i="2" l="1"/>
  <c r="BC410" i="2"/>
  <c r="AY410" i="2"/>
  <c r="BF410" i="2"/>
  <c r="BB410" i="2"/>
  <c r="AX410" i="2"/>
  <c r="BJ410" i="2" l="1"/>
  <c r="AU411" i="2" s="1"/>
  <c r="BI410" i="2"/>
  <c r="AR411" i="2" l="1"/>
  <c r="AQ411" i="2"/>
  <c r="AT411" i="2"/>
  <c r="BG411" i="2" l="1"/>
  <c r="AY411" i="2"/>
  <c r="BC411" i="2"/>
  <c r="AX411" i="2"/>
  <c r="BF411" i="2"/>
  <c r="BB411" i="2"/>
  <c r="BJ411" i="2" l="1"/>
  <c r="AU412" i="2" s="1"/>
  <c r="BI411" i="2"/>
  <c r="AQ412" i="2" s="1"/>
  <c r="AR412" i="2" l="1"/>
  <c r="AX412" i="2"/>
  <c r="AY412" i="2"/>
  <c r="BC412" i="2"/>
  <c r="BG412" i="2"/>
  <c r="BF412" i="2"/>
  <c r="BB412" i="2"/>
  <c r="AT412" i="2"/>
  <c r="BI412" i="2" l="1"/>
  <c r="AQ413" i="2" s="1"/>
  <c r="BJ412" i="2"/>
  <c r="AR413" i="2" s="1"/>
  <c r="AU413" i="2" l="1"/>
  <c r="AT413" i="2"/>
  <c r="BB413" i="2"/>
  <c r="BF413" i="2"/>
  <c r="AX413" i="2"/>
  <c r="BC413" i="2"/>
  <c r="BG413" i="2"/>
  <c r="AY413" i="2"/>
  <c r="BI413" i="2" l="1"/>
  <c r="AT414" i="2" s="1"/>
  <c r="BJ413" i="2"/>
  <c r="AQ414" i="2" l="1"/>
  <c r="AU414" i="2"/>
  <c r="AR414" i="2"/>
  <c r="BG414" i="2" l="1"/>
  <c r="BC414" i="2"/>
  <c r="AY414" i="2"/>
  <c r="AX414" i="2"/>
  <c r="BF414" i="2"/>
  <c r="BB414" i="2"/>
  <c r="BI414" i="2" l="1"/>
  <c r="BJ414" i="2"/>
  <c r="AU415" i="2" l="1"/>
  <c r="AR415" i="2"/>
  <c r="AT415" i="2"/>
  <c r="AQ415" i="2"/>
  <c r="AY415" i="2" l="1"/>
  <c r="BG415" i="2"/>
  <c r="BC415" i="2"/>
  <c r="BF415" i="2"/>
  <c r="BB415" i="2"/>
  <c r="AX415" i="2"/>
  <c r="BI415" i="2" l="1"/>
  <c r="BJ415" i="2"/>
  <c r="AU416" i="2" l="1"/>
  <c r="AR416" i="2"/>
  <c r="AT416" i="2"/>
  <c r="AQ416" i="2"/>
  <c r="BG416" i="2" l="1"/>
  <c r="BC416" i="2"/>
  <c r="AY416" i="2"/>
  <c r="BB416" i="2"/>
  <c r="AX416" i="2"/>
  <c r="BF416" i="2"/>
  <c r="BI416" i="2" l="1"/>
  <c r="AT417" i="2" s="1"/>
  <c r="BJ416" i="2"/>
  <c r="AQ417" i="2" l="1"/>
  <c r="AU417" i="2"/>
  <c r="AR417" i="2"/>
  <c r="AX417" i="2" l="1"/>
  <c r="BG417" i="2"/>
  <c r="AY417" i="2"/>
  <c r="BC417" i="2"/>
  <c r="BB417" i="2"/>
  <c r="BF417" i="2"/>
  <c r="BI417" i="2" l="1"/>
  <c r="AT418" i="2" s="1"/>
  <c r="BJ417" i="2"/>
  <c r="AQ418" i="2" l="1"/>
  <c r="AU418" i="2"/>
  <c r="AR418" i="2"/>
  <c r="BG418" i="2" l="1"/>
  <c r="AY418" i="2"/>
  <c r="BC418" i="2"/>
  <c r="AX418" i="2"/>
  <c r="BB418" i="2"/>
  <c r="BF418" i="2"/>
  <c r="BI418" i="2" l="1"/>
  <c r="BJ418" i="2"/>
  <c r="AR419" i="2" l="1"/>
  <c r="AU419" i="2"/>
  <c r="AQ419" i="2"/>
  <c r="AT419" i="2"/>
  <c r="AY419" i="2" l="1"/>
  <c r="BG419" i="2"/>
  <c r="BC419" i="2"/>
  <c r="BF419" i="2"/>
  <c r="BB419" i="2"/>
  <c r="AX419" i="2"/>
  <c r="BJ419" i="2" l="1"/>
  <c r="AU420" i="2" s="1"/>
  <c r="BI419" i="2"/>
  <c r="AR420" i="2" l="1"/>
  <c r="AQ420" i="2"/>
  <c r="AT420" i="2"/>
  <c r="AY420" i="2" l="1"/>
  <c r="BF420" i="2"/>
  <c r="AX420" i="2"/>
  <c r="BB420" i="2"/>
  <c r="BG420" i="2"/>
  <c r="BC420" i="2"/>
  <c r="BJ420" i="2" l="1"/>
  <c r="BI420" i="2"/>
  <c r="AT421" i="2" l="1"/>
  <c r="AQ421" i="2"/>
  <c r="AU421" i="2"/>
  <c r="AR421" i="2"/>
  <c r="BG421" i="2" l="1"/>
  <c r="AY421" i="2"/>
  <c r="BC421" i="2"/>
  <c r="AX421" i="2"/>
  <c r="BF421" i="2"/>
  <c r="BB421" i="2"/>
  <c r="BI421" i="2" l="1"/>
  <c r="BJ421" i="2"/>
  <c r="AQ422" i="2" l="1"/>
  <c r="AT422" i="2"/>
  <c r="AR422" i="2"/>
  <c r="AU422" i="2"/>
  <c r="BC422" i="2" l="1"/>
  <c r="BG422" i="2"/>
  <c r="AY422" i="2"/>
  <c r="BF422" i="2"/>
  <c r="AX422" i="2"/>
  <c r="BB422" i="2"/>
  <c r="BI422" i="2" l="1"/>
  <c r="AT423" i="2" s="1"/>
  <c r="BJ422" i="2"/>
  <c r="AQ423" i="2" l="1"/>
  <c r="AR423" i="2"/>
  <c r="AU423" i="2"/>
  <c r="BC423" i="2" l="1"/>
  <c r="AY423" i="2"/>
  <c r="BG423" i="2"/>
  <c r="BB423" i="2"/>
  <c r="AX423" i="2"/>
  <c r="BF423" i="2"/>
  <c r="BJ423" i="2" l="1"/>
  <c r="BI423" i="2"/>
  <c r="AR424" i="2" l="1"/>
  <c r="AU424" i="2"/>
  <c r="AT424" i="2"/>
  <c r="AQ424" i="2"/>
  <c r="BF424" i="2" l="1"/>
  <c r="AX424" i="2"/>
  <c r="BB424" i="2"/>
  <c r="BC424" i="2"/>
  <c r="AY424" i="2"/>
  <c r="BG424" i="2"/>
  <c r="BJ424" i="2" l="1"/>
  <c r="BI424" i="2"/>
  <c r="AQ425" i="2" l="1"/>
  <c r="AT425" i="2"/>
  <c r="AR425" i="2"/>
  <c r="AU425" i="2"/>
  <c r="BG425" i="2" l="1"/>
  <c r="BC425" i="2"/>
  <c r="AY425" i="2"/>
  <c r="BF425" i="2"/>
  <c r="AX425" i="2"/>
  <c r="BB425" i="2"/>
  <c r="BI425" i="2" l="1"/>
  <c r="BJ425" i="2"/>
  <c r="AT426" i="2" l="1"/>
  <c r="AQ426" i="2"/>
  <c r="AU426" i="2"/>
  <c r="AR426" i="2"/>
  <c r="AX426" i="2" l="1"/>
  <c r="BF426" i="2"/>
  <c r="BB426" i="2"/>
  <c r="BG426" i="2"/>
  <c r="BC426" i="2"/>
  <c r="AY426" i="2"/>
  <c r="BJ426" i="2" l="1"/>
  <c r="BI426" i="2"/>
  <c r="AT427" i="2" l="1"/>
  <c r="AQ427" i="2"/>
  <c r="AU427" i="2"/>
  <c r="AR427" i="2"/>
  <c r="BF427" i="2" l="1"/>
  <c r="BB427" i="2"/>
  <c r="AX427" i="2"/>
  <c r="BG427" i="2"/>
  <c r="AY427" i="2"/>
  <c r="BC427" i="2"/>
  <c r="BJ427" i="2" l="1"/>
  <c r="AU428" i="2" s="1"/>
  <c r="BI427" i="2"/>
  <c r="AR428" i="2" l="1"/>
  <c r="AT428" i="2"/>
  <c r="AQ428" i="2"/>
  <c r="BG428" i="2" l="1"/>
  <c r="BC428" i="2"/>
  <c r="BB428" i="2"/>
  <c r="BF428" i="2"/>
  <c r="AX428" i="2"/>
  <c r="AY428" i="2"/>
  <c r="BJ428" i="2" l="1"/>
  <c r="BI428" i="2"/>
  <c r="AU429" i="2"/>
  <c r="AR429" i="2"/>
  <c r="AQ429" i="2" l="1"/>
  <c r="AT429" i="2"/>
  <c r="AY429" i="2" l="1"/>
  <c r="AX429" i="2"/>
  <c r="BC429" i="2"/>
  <c r="BG429" i="2"/>
  <c r="BB429" i="2"/>
  <c r="BF429" i="2"/>
  <c r="BJ429" i="2" l="1"/>
  <c r="AU430" i="2" s="1"/>
  <c r="BI429" i="2"/>
  <c r="AQ430" i="2" s="1"/>
  <c r="AR430" i="2" l="1"/>
  <c r="BC430" i="2" s="1"/>
  <c r="AT430" i="2"/>
  <c r="BB430" i="2" l="1"/>
  <c r="AX430" i="2"/>
  <c r="BF430" i="2"/>
  <c r="AY430" i="2"/>
  <c r="BG430" i="2"/>
  <c r="BJ430" i="2" s="1"/>
  <c r="BI430" i="2"/>
  <c r="AU431" i="2" l="1"/>
  <c r="AR431" i="2"/>
  <c r="AQ431" i="2"/>
  <c r="AT431" i="2"/>
  <c r="AY431" i="2" l="1"/>
  <c r="BG431" i="2"/>
  <c r="BC431" i="2"/>
  <c r="BB431" i="2"/>
  <c r="BF431" i="2"/>
  <c r="AX431" i="2"/>
  <c r="BI431" i="2" l="1"/>
  <c r="BJ431" i="2"/>
  <c r="AU432" i="2" l="1"/>
  <c r="AR432" i="2"/>
  <c r="AT432" i="2"/>
  <c r="AQ432" i="2"/>
  <c r="BG432" i="2" l="1"/>
  <c r="AY432" i="2"/>
  <c r="BC432" i="2"/>
  <c r="BB432" i="2"/>
  <c r="BF432" i="2"/>
  <c r="AX432" i="2"/>
  <c r="BI432" i="2" l="1"/>
  <c r="AT433" i="2" s="1"/>
  <c r="BJ432" i="2"/>
  <c r="AQ433" i="2" l="1"/>
  <c r="AR433" i="2"/>
  <c r="AU433" i="2"/>
  <c r="AX433" i="2" l="1"/>
  <c r="BF433" i="2"/>
  <c r="BB433" i="2"/>
  <c r="AY433" i="2"/>
  <c r="BG433" i="2"/>
  <c r="BC433" i="2"/>
  <c r="BI433" i="2" l="1"/>
  <c r="AQ434" i="2" s="1"/>
  <c r="BJ433" i="2"/>
  <c r="AT434" i="2" l="1"/>
  <c r="AU434" i="2"/>
  <c r="AR434" i="2"/>
  <c r="BC434" i="2" l="1"/>
  <c r="AY434" i="2"/>
  <c r="BG434" i="2"/>
  <c r="BF434" i="2"/>
  <c r="BB434" i="2"/>
  <c r="AX434" i="2"/>
  <c r="BJ434" i="2" l="1"/>
  <c r="AU435" i="2" s="1"/>
  <c r="BI434" i="2"/>
  <c r="AR435" i="2" l="1"/>
  <c r="AQ435" i="2"/>
  <c r="AT435" i="2"/>
  <c r="BG435" i="2" l="1"/>
  <c r="BB435" i="2"/>
  <c r="BF435" i="2"/>
  <c r="AY435" i="2"/>
  <c r="BC435" i="2"/>
  <c r="AX435" i="2"/>
  <c r="BJ435" i="2" l="1"/>
  <c r="AU436" i="2" s="1"/>
  <c r="BI435" i="2"/>
  <c r="AR436" i="2" l="1"/>
  <c r="AT436" i="2"/>
  <c r="AQ436" i="2"/>
  <c r="BF436" i="2" l="1"/>
  <c r="BB436" i="2"/>
  <c r="AY436" i="2"/>
  <c r="BC436" i="2"/>
  <c r="BG436" i="2"/>
  <c r="AX436" i="2"/>
  <c r="BJ436" i="2" l="1"/>
  <c r="BI436" i="2"/>
  <c r="AT437" i="2" l="1"/>
  <c r="AQ437" i="2"/>
  <c r="AR437" i="2"/>
  <c r="AU437" i="2"/>
  <c r="BG437" i="2" l="1"/>
  <c r="BC437" i="2"/>
  <c r="AY437" i="2"/>
  <c r="BB437" i="2"/>
  <c r="AX437" i="2"/>
  <c r="BF437" i="2"/>
  <c r="BI437" i="2" l="1"/>
  <c r="AT438" i="2" s="1"/>
  <c r="BJ437" i="2"/>
  <c r="AQ438" i="2" l="1"/>
  <c r="AR438" i="2"/>
  <c r="AU438" i="2"/>
  <c r="AY438" i="2" l="1"/>
  <c r="BG438" i="2"/>
  <c r="BC438" i="2"/>
  <c r="BF438" i="2"/>
  <c r="AX438" i="2"/>
  <c r="BB438" i="2"/>
  <c r="BI438" i="2" l="1"/>
  <c r="AT439" i="2" s="1"/>
  <c r="BJ438" i="2"/>
  <c r="AQ439" i="2" l="1"/>
  <c r="AR439" i="2"/>
  <c r="AU439" i="2"/>
  <c r="AY439" i="2" l="1"/>
  <c r="BG439" i="2"/>
  <c r="BC439" i="2"/>
  <c r="BF439" i="2"/>
  <c r="BB439" i="2"/>
  <c r="AX439" i="2"/>
  <c r="BI439" i="2" l="1"/>
  <c r="AT440" i="2" s="1"/>
  <c r="BJ439" i="2"/>
  <c r="AQ440" i="2" l="1"/>
  <c r="AU440" i="2"/>
  <c r="AR440" i="2"/>
  <c r="BF440" i="2" l="1"/>
  <c r="AX440" i="2"/>
  <c r="AY440" i="2"/>
  <c r="BG440" i="2"/>
  <c r="BC440" i="2"/>
  <c r="BB440" i="2"/>
  <c r="BI440" i="2" l="1"/>
  <c r="BJ440" i="2"/>
  <c r="AU441" i="2" s="1"/>
  <c r="AQ441" i="2"/>
  <c r="AT441" i="2"/>
  <c r="AR441" i="2"/>
  <c r="AY441" i="2" l="1"/>
  <c r="BG441" i="2"/>
  <c r="BC441" i="2"/>
  <c r="AX441" i="2"/>
  <c r="BF441" i="2"/>
  <c r="BB441" i="2"/>
  <c r="BI441" i="2" l="1"/>
  <c r="BJ441" i="2"/>
  <c r="AR442" i="2" l="1"/>
  <c r="AU442" i="2"/>
  <c r="AT442" i="2"/>
  <c r="AQ442" i="2"/>
  <c r="BB442" i="2" l="1"/>
  <c r="BF442" i="2"/>
  <c r="AX442" i="2"/>
  <c r="BG442" i="2"/>
  <c r="AY442" i="2"/>
  <c r="BC442" i="2"/>
  <c r="BJ442" i="2" l="1"/>
  <c r="AU443" i="2" s="1"/>
  <c r="BI442" i="2"/>
  <c r="AR443" i="2" l="1"/>
  <c r="AQ443" i="2"/>
  <c r="AT443" i="2"/>
  <c r="BF443" i="2" l="1"/>
  <c r="BB443" i="2"/>
  <c r="AX443" i="2"/>
  <c r="AY443" i="2"/>
  <c r="BG443" i="2"/>
  <c r="BC443" i="2"/>
  <c r="BJ443" i="2" l="1"/>
  <c r="BI443" i="2"/>
  <c r="AQ444" i="2" l="1"/>
  <c r="AT444" i="2"/>
  <c r="AU444" i="2"/>
  <c r="AR444" i="2"/>
  <c r="BG444" i="2" l="1"/>
  <c r="AY444" i="2"/>
  <c r="BC444" i="2"/>
  <c r="BB444" i="2"/>
  <c r="AX444" i="2"/>
  <c r="BF444" i="2"/>
  <c r="BI444" i="2" l="1"/>
  <c r="BJ444" i="2"/>
  <c r="AU445" i="2" l="1"/>
  <c r="AR445" i="2"/>
  <c r="AQ445" i="2"/>
  <c r="AT445" i="2"/>
  <c r="AY445" i="2" l="1"/>
  <c r="BC445" i="2"/>
  <c r="BG445" i="2"/>
  <c r="AX445" i="2"/>
  <c r="BB445" i="2"/>
  <c r="BF445" i="2"/>
  <c r="BJ445" i="2" l="1"/>
  <c r="AU446" i="2" s="1"/>
  <c r="BI445" i="2"/>
  <c r="AR446" i="2" l="1"/>
  <c r="AT446" i="2"/>
  <c r="AQ446" i="2"/>
  <c r="BG446" i="2" l="1"/>
  <c r="AX446" i="2"/>
  <c r="BF446" i="2"/>
  <c r="BB446" i="2"/>
  <c r="AY446" i="2"/>
  <c r="BC446" i="2"/>
  <c r="BJ446" i="2" l="1"/>
  <c r="AU447" i="2" s="1"/>
  <c r="BI446" i="2"/>
  <c r="AR447" i="2" l="1"/>
  <c r="AT447" i="2"/>
  <c r="AQ447" i="2"/>
  <c r="BC447" i="2" l="1"/>
  <c r="AY447" i="2"/>
  <c r="BG447" i="2"/>
  <c r="BF447" i="2"/>
  <c r="AX447" i="2"/>
  <c r="BB447" i="2"/>
  <c r="BJ447" i="2" l="1"/>
  <c r="BI447" i="2"/>
  <c r="AU448" i="2"/>
  <c r="AR448" i="2"/>
  <c r="AQ448" i="2" l="1"/>
  <c r="AT448" i="2"/>
  <c r="BC448" i="2" l="1"/>
  <c r="BB448" i="2"/>
  <c r="BF448" i="2"/>
  <c r="AX448" i="2"/>
  <c r="BG448" i="2"/>
  <c r="AY448" i="2"/>
  <c r="BI448" i="2" l="1"/>
  <c r="AQ449" i="2" s="1"/>
  <c r="BJ448" i="2"/>
  <c r="AR449" i="2" s="1"/>
  <c r="AX449" i="2" l="1"/>
  <c r="AT449" i="2"/>
  <c r="AU449" i="2"/>
  <c r="BC449" i="2"/>
  <c r="AY449" i="2"/>
  <c r="BG449" i="2"/>
  <c r="BF449" i="2"/>
  <c r="BB449" i="2"/>
  <c r="BJ449" i="2" l="1"/>
  <c r="AU450" i="2" s="1"/>
  <c r="BI449" i="2"/>
  <c r="AR450" i="2" l="1"/>
  <c r="AQ450" i="2"/>
  <c r="AT450" i="2"/>
  <c r="BC450" i="2" l="1"/>
  <c r="AX450" i="2"/>
  <c r="BB450" i="2"/>
  <c r="BF450" i="2"/>
  <c r="BG450" i="2"/>
  <c r="AY450" i="2"/>
  <c r="BI450" i="2" l="1"/>
  <c r="AT451" i="2" s="1"/>
  <c r="BJ450" i="2"/>
  <c r="AQ451" i="2" l="1"/>
  <c r="AU451" i="2"/>
  <c r="AR451" i="2"/>
  <c r="BF451" i="2" l="1"/>
  <c r="AX451" i="2"/>
  <c r="BB451" i="2"/>
  <c r="BG451" i="2"/>
  <c r="AY451" i="2"/>
  <c r="BC451" i="2"/>
  <c r="BI451" i="2" l="1"/>
  <c r="AT452" i="2" s="1"/>
  <c r="BJ451" i="2"/>
  <c r="AQ452" i="2" l="1"/>
  <c r="AR452" i="2"/>
  <c r="AU452" i="2"/>
  <c r="BC452" i="2" l="1"/>
  <c r="AY452" i="2"/>
  <c r="BG452" i="2"/>
  <c r="BB452" i="2"/>
  <c r="AX452" i="2"/>
  <c r="BF452" i="2"/>
  <c r="BJ452" i="2" l="1"/>
  <c r="BI452" i="2"/>
  <c r="AU453" i="2" l="1"/>
  <c r="AR453" i="2"/>
  <c r="AQ453" i="2"/>
  <c r="AT453" i="2"/>
  <c r="BB453" i="2" l="1"/>
  <c r="AX453" i="2"/>
  <c r="BF453" i="2"/>
  <c r="BG453" i="2"/>
  <c r="BC453" i="2"/>
  <c r="AY453" i="2"/>
  <c r="BI453" i="2" l="1"/>
  <c r="AT454" i="2" s="1"/>
  <c r="BJ453" i="2"/>
  <c r="AQ454" i="2" l="1"/>
  <c r="AR454" i="2"/>
  <c r="AU454" i="2"/>
  <c r="AY454" i="2" l="1"/>
  <c r="BG454" i="2"/>
  <c r="BC454" i="2"/>
  <c r="AX454" i="2"/>
  <c r="BB454" i="2"/>
  <c r="BF454" i="2"/>
  <c r="BI454" i="2" l="1"/>
  <c r="BJ454" i="2"/>
  <c r="AU455" i="2" l="1"/>
  <c r="AR455" i="2"/>
  <c r="AQ455" i="2"/>
  <c r="AT455" i="2"/>
  <c r="BB455" i="2" l="1"/>
  <c r="AX455" i="2"/>
  <c r="BF455" i="2"/>
  <c r="BG455" i="2"/>
  <c r="AY455" i="2"/>
  <c r="BC455" i="2"/>
  <c r="BI455" i="2" l="1"/>
  <c r="AQ456" i="2" s="1"/>
  <c r="BJ455" i="2"/>
  <c r="AT456" i="2" l="1"/>
  <c r="AR456" i="2"/>
  <c r="AU456" i="2"/>
  <c r="BG456" i="2" l="1"/>
  <c r="BC456" i="2"/>
  <c r="AY456" i="2"/>
  <c r="BB456" i="2"/>
  <c r="BF456" i="2"/>
  <c r="AX456" i="2"/>
  <c r="BI456" i="2" l="1"/>
  <c r="BJ456" i="2"/>
  <c r="AU457" i="2" l="1"/>
  <c r="AR457" i="2"/>
  <c r="AT457" i="2"/>
  <c r="AQ457" i="2"/>
  <c r="BF457" i="2" l="1"/>
  <c r="AX457" i="2"/>
  <c r="BB457" i="2"/>
  <c r="BG457" i="2"/>
  <c r="AY457" i="2"/>
  <c r="BC457" i="2"/>
  <c r="BJ457" i="2" l="1"/>
  <c r="BI457" i="2"/>
  <c r="AT458" i="2" l="1"/>
  <c r="AQ458" i="2"/>
  <c r="AU458" i="2"/>
  <c r="AR458" i="2"/>
  <c r="AY458" i="2" l="1"/>
  <c r="BG458" i="2"/>
  <c r="BC458" i="2"/>
  <c r="AX458" i="2"/>
  <c r="BB458" i="2"/>
  <c r="BF458" i="2"/>
  <c r="BI458" i="2" l="1"/>
  <c r="AQ459" i="2" s="1"/>
  <c r="BJ458" i="2"/>
  <c r="AT459" i="2" l="1"/>
  <c r="AU459" i="2"/>
  <c r="AR459" i="2"/>
  <c r="BG459" i="2" l="1"/>
  <c r="AY459" i="2"/>
  <c r="BC459" i="2"/>
  <c r="BF459" i="2"/>
  <c r="AX459" i="2"/>
  <c r="BB459" i="2"/>
  <c r="BI459" i="2" l="1"/>
  <c r="BJ459" i="2"/>
  <c r="AT460" i="2" l="1"/>
  <c r="AQ460" i="2"/>
  <c r="AR460" i="2"/>
  <c r="AU460" i="2"/>
  <c r="BB460" i="2" l="1"/>
  <c r="AX460" i="2"/>
  <c r="BF460" i="2"/>
  <c r="BG460" i="2"/>
  <c r="AY460" i="2"/>
  <c r="BC460" i="2"/>
  <c r="BI460" i="2" l="1"/>
  <c r="AT461" i="2" s="1"/>
  <c r="BJ460" i="2"/>
  <c r="AQ461" i="2" l="1"/>
  <c r="AU461" i="2"/>
  <c r="AR461" i="2"/>
  <c r="AY461" i="2" l="1"/>
  <c r="BC461" i="2"/>
  <c r="BG461" i="2"/>
  <c r="BB461" i="2"/>
  <c r="AX461" i="2"/>
  <c r="BF461" i="2"/>
  <c r="BJ461" i="2" l="1"/>
  <c r="BI461" i="2"/>
  <c r="AR462" i="2" l="1"/>
  <c r="AU462" i="2"/>
  <c r="AT462" i="2"/>
  <c r="AQ462" i="2"/>
  <c r="BF462" i="2" l="1"/>
  <c r="AX462" i="2"/>
  <c r="BB462" i="2"/>
  <c r="BC462" i="2"/>
  <c r="AY462" i="2"/>
  <c r="BG462" i="2"/>
  <c r="BJ462" i="2" l="1"/>
  <c r="BI462" i="2"/>
  <c r="AQ463" i="2" s="1"/>
  <c r="AU463" i="2"/>
  <c r="AR463" i="2"/>
  <c r="AT463" i="2"/>
  <c r="BC463" i="2" l="1"/>
  <c r="BG463" i="2"/>
  <c r="AY463" i="2"/>
  <c r="AX463" i="2"/>
  <c r="BF463" i="2"/>
  <c r="BB463" i="2"/>
  <c r="BI463" i="2" l="1"/>
  <c r="BJ463" i="2"/>
  <c r="AR464" i="2" l="1"/>
  <c r="AU464" i="2"/>
  <c r="AT464" i="2"/>
  <c r="AQ464" i="2"/>
  <c r="AX464" i="2" l="1"/>
  <c r="BB464" i="2"/>
  <c r="BF464" i="2"/>
  <c r="BG464" i="2"/>
  <c r="BC464" i="2"/>
  <c r="AY464" i="2"/>
  <c r="BI464" i="2" l="1"/>
  <c r="BJ464" i="2"/>
  <c r="AQ465" i="2" l="1"/>
  <c r="AT465" i="2"/>
  <c r="AU465" i="2"/>
  <c r="AR465" i="2"/>
  <c r="BC465" i="2" l="1"/>
  <c r="BG465" i="2"/>
  <c r="AY465" i="2"/>
  <c r="BF465" i="2"/>
  <c r="AX465" i="2"/>
  <c r="BB465" i="2"/>
  <c r="BI465" i="2" l="1"/>
  <c r="BJ465" i="2"/>
  <c r="AR466" i="2" l="1"/>
  <c r="AU466" i="2"/>
  <c r="AQ466" i="2"/>
  <c r="AT466" i="2"/>
  <c r="AX466" i="2" l="1"/>
  <c r="BF466" i="2"/>
  <c r="BB466" i="2"/>
  <c r="AY466" i="2"/>
  <c r="BC466" i="2"/>
  <c r="BG466" i="2"/>
  <c r="BI466" i="2" l="1"/>
  <c r="AT467" i="2" s="1"/>
  <c r="BJ466" i="2"/>
  <c r="AQ467" i="2" l="1"/>
  <c r="AU467" i="2"/>
  <c r="AR467" i="2"/>
  <c r="BC467" i="2" l="1"/>
  <c r="BG467" i="2"/>
  <c r="AY467" i="2"/>
  <c r="AX467" i="2"/>
  <c r="BF467" i="2"/>
  <c r="BB467" i="2"/>
  <c r="BI467" i="2" l="1"/>
  <c r="AT468" i="2" s="1"/>
  <c r="BJ467" i="2"/>
  <c r="AQ468" i="2" l="1"/>
  <c r="AR468" i="2"/>
  <c r="AU468" i="2"/>
  <c r="BG468" i="2" l="1"/>
  <c r="AY468" i="2"/>
  <c r="BC468" i="2"/>
  <c r="AX468" i="2"/>
  <c r="BB468" i="2"/>
  <c r="BF468" i="2"/>
  <c r="BI468" i="2" l="1"/>
  <c r="AT469" i="2"/>
  <c r="AQ469" i="2"/>
  <c r="BJ468" i="2"/>
  <c r="AR469" i="2" l="1"/>
  <c r="AU469" i="2"/>
  <c r="BC469" i="2" l="1"/>
  <c r="BG469" i="2"/>
  <c r="AY469" i="2"/>
  <c r="AX469" i="2"/>
  <c r="BF469" i="2"/>
  <c r="BB469" i="2"/>
  <c r="BJ469" i="2" l="1"/>
  <c r="BI469" i="2"/>
  <c r="AU470" i="2" l="1"/>
  <c r="AR470" i="2"/>
  <c r="AQ470" i="2"/>
  <c r="AT470" i="2"/>
  <c r="AX470" i="2" l="1"/>
  <c r="BB470" i="2"/>
  <c r="BF470" i="2"/>
  <c r="BG470" i="2"/>
  <c r="AY470" i="2"/>
  <c r="BC470" i="2"/>
  <c r="BI470" i="2" l="1"/>
  <c r="BJ470" i="2"/>
  <c r="AT471" i="2" l="1"/>
  <c r="AQ471" i="2"/>
  <c r="AU471" i="2"/>
  <c r="AR471" i="2"/>
  <c r="BG471" i="2" l="1"/>
  <c r="AY471" i="2"/>
  <c r="BC471" i="2"/>
  <c r="BB471" i="2"/>
  <c r="AX471" i="2"/>
  <c r="BF471" i="2"/>
  <c r="BI471" i="2" l="1"/>
  <c r="BJ471" i="2"/>
  <c r="AR472" i="2" l="1"/>
  <c r="AU472" i="2"/>
  <c r="AT472" i="2"/>
  <c r="AQ472" i="2"/>
  <c r="BB472" i="2" l="1"/>
  <c r="AX472" i="2"/>
  <c r="BF472" i="2"/>
  <c r="BC472" i="2"/>
  <c r="AY472" i="2"/>
  <c r="BG472" i="2"/>
  <c r="BJ472" i="2" l="1"/>
  <c r="AU473" i="2" s="1"/>
  <c r="BI472" i="2"/>
  <c r="AT473" i="2" s="1"/>
  <c r="AQ473" i="2" l="1"/>
  <c r="AR473" i="2"/>
  <c r="BF473" i="2" l="1"/>
  <c r="BC473" i="2"/>
  <c r="BB473" i="2"/>
  <c r="AY473" i="2"/>
  <c r="BG473" i="2"/>
  <c r="AX473" i="2"/>
  <c r="BJ473" i="2" l="1"/>
  <c r="AU474" i="2" s="1"/>
  <c r="BI473" i="2"/>
  <c r="AT474" i="2" s="1"/>
  <c r="AQ474" i="2"/>
  <c r="AR474" i="2" l="1"/>
  <c r="BB474" i="2"/>
  <c r="AX474" i="2"/>
  <c r="BF474" i="2"/>
  <c r="AY474" i="2"/>
  <c r="BC474" i="2"/>
  <c r="BG474" i="2"/>
  <c r="BI474" i="2" l="1"/>
  <c r="AT475" i="2" s="1"/>
  <c r="BJ474" i="2"/>
  <c r="AQ475" i="2" l="1"/>
  <c r="AR475" i="2"/>
  <c r="AU475" i="2"/>
  <c r="AX475" i="2" l="1"/>
  <c r="BF475" i="2"/>
  <c r="BG475" i="2"/>
  <c r="BC475" i="2"/>
  <c r="AY475" i="2"/>
  <c r="BB475" i="2"/>
  <c r="BJ475" i="2" l="1"/>
  <c r="BI475" i="2"/>
  <c r="AT476" i="2" l="1"/>
  <c r="AQ476" i="2"/>
  <c r="AU476" i="2"/>
  <c r="AR476" i="2"/>
  <c r="BC476" i="2" l="1"/>
  <c r="AY476" i="2"/>
  <c r="BG476" i="2"/>
  <c r="BB476" i="2"/>
  <c r="BF476" i="2"/>
  <c r="AX476" i="2"/>
  <c r="BJ476" i="2" l="1"/>
  <c r="AU477" i="2" s="1"/>
  <c r="BI476" i="2"/>
  <c r="AR477" i="2"/>
  <c r="AT477" i="2" l="1"/>
  <c r="AQ477" i="2"/>
  <c r="BB477" i="2" l="1"/>
  <c r="BF477" i="2"/>
  <c r="AX477" i="2"/>
  <c r="BG477" i="2"/>
  <c r="BC477" i="2"/>
  <c r="AY477" i="2"/>
  <c r="BJ477" i="2" l="1"/>
  <c r="BI477" i="2"/>
  <c r="AT478" i="2" l="1"/>
  <c r="AQ478" i="2"/>
  <c r="AU478" i="2"/>
  <c r="AR478" i="2"/>
  <c r="BG478" i="2" l="1"/>
  <c r="AY478" i="2"/>
  <c r="BC478" i="2"/>
  <c r="BF478" i="2"/>
  <c r="AX478" i="2"/>
  <c r="BB478" i="2"/>
  <c r="BI478" i="2" l="1"/>
  <c r="BJ478" i="2"/>
  <c r="AU479" i="2" l="1"/>
  <c r="AR479" i="2"/>
  <c r="AT479" i="2"/>
  <c r="AQ479" i="2"/>
  <c r="AX479" i="2" l="1"/>
  <c r="BB479" i="2"/>
  <c r="BF479" i="2"/>
  <c r="BG479" i="2"/>
  <c r="BC479" i="2"/>
  <c r="AY479" i="2"/>
  <c r="BI479" i="2" l="1"/>
  <c r="AT480" i="2" s="1"/>
  <c r="BJ479" i="2"/>
  <c r="AU480" i="2" s="1"/>
  <c r="AR480" i="2" l="1"/>
  <c r="AQ480" i="2"/>
  <c r="AY480" i="2" l="1"/>
  <c r="BB480" i="2"/>
  <c r="AX480" i="2"/>
  <c r="BF480" i="2"/>
  <c r="BI480" i="2" s="1"/>
  <c r="BC480" i="2"/>
  <c r="BG480" i="2"/>
  <c r="BJ480" i="2" l="1"/>
  <c r="AU481" i="2" s="1"/>
  <c r="AT481" i="2"/>
  <c r="AQ481" i="2"/>
  <c r="AR481" i="2" l="1"/>
  <c r="BF481" i="2" s="1"/>
  <c r="BG481" i="2" l="1"/>
  <c r="AY481" i="2"/>
  <c r="BC481" i="2"/>
  <c r="AX481" i="2"/>
  <c r="BB481" i="2"/>
  <c r="BI481" i="2" l="1"/>
  <c r="BJ481" i="2"/>
  <c r="AU482" i="2"/>
  <c r="AR482" i="2"/>
  <c r="AT482" i="2"/>
  <c r="AQ482" i="2"/>
  <c r="AX482" i="2" l="1"/>
  <c r="BF482" i="2"/>
  <c r="BB482" i="2"/>
  <c r="AY482" i="2"/>
  <c r="BG482" i="2"/>
  <c r="BC482" i="2"/>
  <c r="BJ482" i="2" l="1"/>
  <c r="BI482" i="2"/>
  <c r="AQ483" i="2" l="1"/>
  <c r="AT483" i="2"/>
  <c r="AU483" i="2"/>
  <c r="AR483" i="2"/>
  <c r="BC483" i="2" l="1"/>
  <c r="BG483" i="2"/>
  <c r="AY483" i="2"/>
  <c r="BB483" i="2"/>
  <c r="BF483" i="2"/>
  <c r="AX483" i="2"/>
  <c r="BI483" i="2" l="1"/>
  <c r="BJ483" i="2"/>
  <c r="AR484" i="2" l="1"/>
  <c r="AU484" i="2"/>
  <c r="AQ484" i="2"/>
  <c r="AT484" i="2"/>
  <c r="AX484" i="2" l="1"/>
  <c r="BB484" i="2"/>
  <c r="BF484" i="2"/>
  <c r="BC484" i="2"/>
  <c r="AY484" i="2"/>
  <c r="BG484" i="2"/>
  <c r="BI484" i="2" l="1"/>
  <c r="AT485" i="2" s="1"/>
  <c r="BJ484" i="2"/>
  <c r="AQ485" i="2" l="1"/>
  <c r="AR485" i="2"/>
  <c r="AU485" i="2"/>
  <c r="BG485" i="2" l="1"/>
  <c r="BC485" i="2"/>
  <c r="BF485" i="2"/>
  <c r="BB485" i="2"/>
  <c r="AX485" i="2"/>
  <c r="AY485" i="2"/>
  <c r="BI485" i="2" l="1"/>
  <c r="AT486" i="2" s="1"/>
  <c r="BJ485" i="2"/>
  <c r="AQ486" i="2" l="1"/>
  <c r="AU486" i="2"/>
  <c r="AR486" i="2"/>
  <c r="BC486" i="2" l="1"/>
  <c r="BG486" i="2"/>
  <c r="AY486" i="2"/>
  <c r="BF486" i="2"/>
  <c r="AX486" i="2"/>
  <c r="BB486" i="2"/>
  <c r="BI486" i="2" l="1"/>
  <c r="AQ487" i="2" s="1"/>
  <c r="BJ486" i="2"/>
  <c r="AT487" i="2" l="1"/>
  <c r="AU487" i="2"/>
  <c r="AR487" i="2"/>
  <c r="AX487" i="2" l="1"/>
  <c r="BF487" i="2"/>
  <c r="BB487" i="2"/>
  <c r="BC487" i="2"/>
  <c r="AY487" i="2"/>
  <c r="BG487" i="2"/>
  <c r="BI487" i="2" l="1"/>
  <c r="AQ488" i="2" s="1"/>
  <c r="BJ487" i="2"/>
  <c r="AT488" i="2" l="1"/>
  <c r="AR488" i="2"/>
  <c r="AU488" i="2"/>
  <c r="AX488" i="2" l="1"/>
  <c r="AY488" i="2"/>
  <c r="BG488" i="2"/>
  <c r="BC488" i="2"/>
  <c r="BF488" i="2"/>
  <c r="BB488" i="2"/>
  <c r="BI488" i="2" l="1"/>
  <c r="AT489" i="2" s="1"/>
  <c r="BJ488" i="2"/>
  <c r="AQ489" i="2" l="1"/>
  <c r="AU489" i="2"/>
  <c r="AR489" i="2"/>
  <c r="AY489" i="2" l="1"/>
  <c r="BC489" i="2"/>
  <c r="BG489" i="2"/>
  <c r="BB489" i="2"/>
  <c r="AX489" i="2"/>
  <c r="BF489" i="2"/>
  <c r="BJ489" i="2" l="1"/>
  <c r="AR490" i="2" s="1"/>
  <c r="BI489" i="2"/>
  <c r="AQ490" i="2" s="1"/>
  <c r="AY490" i="2" l="1"/>
  <c r="AU490" i="2"/>
  <c r="AT490" i="2"/>
  <c r="BF490" i="2"/>
  <c r="BB490" i="2"/>
  <c r="AX490" i="2"/>
  <c r="BG490" i="2"/>
  <c r="BC490" i="2"/>
  <c r="BJ490" i="2" l="1"/>
  <c r="AR491" i="2" s="1"/>
  <c r="BI490" i="2"/>
  <c r="AU491" i="2" l="1"/>
  <c r="AQ491" i="2"/>
  <c r="AT491" i="2"/>
  <c r="BC491" i="2" l="1"/>
  <c r="BG491" i="2"/>
  <c r="AY491" i="2"/>
  <c r="BB491" i="2"/>
  <c r="BF491" i="2"/>
  <c r="AX491" i="2"/>
  <c r="BJ491" i="2" l="1"/>
  <c r="BI491" i="2"/>
  <c r="AU492" i="2"/>
  <c r="AR492" i="2"/>
  <c r="AT492" i="2" l="1"/>
  <c r="AQ492" i="2"/>
  <c r="BG492" i="2" l="1"/>
  <c r="BB492" i="2"/>
  <c r="AX492" i="2"/>
  <c r="BF492" i="2"/>
  <c r="BC492" i="2"/>
  <c r="AY492" i="2"/>
  <c r="BJ492" i="2" l="1"/>
  <c r="AU493" i="2" s="1"/>
  <c r="BI492" i="2"/>
  <c r="AR493" i="2" l="1"/>
  <c r="AT493" i="2"/>
  <c r="AQ493" i="2"/>
  <c r="AY493" i="2" l="1"/>
  <c r="BC493" i="2"/>
  <c r="BF493" i="2"/>
  <c r="BB493" i="2"/>
  <c r="AX493" i="2"/>
  <c r="BG493" i="2"/>
  <c r="BJ493" i="2" l="1"/>
  <c r="AR494" i="2" s="1"/>
  <c r="BI493" i="2"/>
  <c r="AU494" i="2" l="1"/>
  <c r="AT494" i="2"/>
  <c r="AQ494" i="2"/>
  <c r="AY494" i="2" l="1"/>
  <c r="BG494" i="2"/>
  <c r="BC494" i="2"/>
  <c r="BF494" i="2"/>
  <c r="BB494" i="2"/>
  <c r="AX494" i="2"/>
  <c r="BJ494" i="2" l="1"/>
  <c r="BI494" i="2"/>
  <c r="AU495" i="2" l="1"/>
  <c r="AR495" i="2"/>
  <c r="AQ495" i="2"/>
  <c r="AT495" i="2"/>
  <c r="BB495" i="2" l="1"/>
  <c r="BF495" i="2"/>
  <c r="BG495" i="2"/>
  <c r="BC495" i="2"/>
  <c r="AX495" i="2"/>
  <c r="AY495" i="2"/>
  <c r="BJ495" i="2" l="1"/>
  <c r="BI495" i="2"/>
  <c r="AR496" i="2" l="1"/>
  <c r="AU496" i="2"/>
  <c r="AT496" i="2"/>
  <c r="AQ496" i="2"/>
  <c r="BF496" i="2" l="1"/>
  <c r="BB496" i="2"/>
  <c r="AX496" i="2"/>
  <c r="BC496" i="2"/>
  <c r="BG496" i="2"/>
  <c r="AY496" i="2"/>
  <c r="BJ496" i="2" l="1"/>
  <c r="AU497" i="2" s="1"/>
  <c r="BI496" i="2"/>
  <c r="AR497" i="2" l="1"/>
  <c r="AQ497" i="2"/>
  <c r="AT497" i="2"/>
  <c r="BC497" i="2" l="1"/>
  <c r="AX497" i="2"/>
  <c r="BB497" i="2"/>
  <c r="BG497" i="2"/>
  <c r="BF497" i="2"/>
  <c r="AY497" i="2"/>
  <c r="BI497" i="2" l="1"/>
  <c r="AQ498" i="2" s="1"/>
  <c r="BJ497" i="2"/>
  <c r="AT498" i="2" l="1"/>
  <c r="AU498" i="2"/>
  <c r="AR498" i="2"/>
  <c r="BG498" i="2" l="1"/>
  <c r="BC498" i="2"/>
  <c r="AY498" i="2"/>
  <c r="BF498" i="2"/>
  <c r="BB498" i="2"/>
  <c r="AX498" i="2"/>
  <c r="BJ498" i="2" l="1"/>
  <c r="AR499" i="2" s="1"/>
  <c r="BI498" i="2"/>
  <c r="AU499" i="2" l="1"/>
  <c r="AT499" i="2"/>
  <c r="AQ499" i="2"/>
  <c r="BF499" i="2" l="1"/>
  <c r="AY499" i="2"/>
  <c r="BG499" i="2"/>
  <c r="BB499" i="2"/>
  <c r="BC499" i="2"/>
  <c r="AX499" i="2"/>
  <c r="BJ499" i="2" l="1"/>
  <c r="AR500" i="2" s="1"/>
  <c r="BI499" i="2"/>
  <c r="AQ500" i="2" s="1"/>
  <c r="AT500" i="2" l="1"/>
  <c r="AU500" i="2"/>
  <c r="AY500" i="2"/>
  <c r="BC500" i="2"/>
  <c r="BG500" i="2"/>
  <c r="AX500" i="2"/>
  <c r="BB500" i="2"/>
  <c r="BF500" i="2"/>
  <c r="BI500" i="2" l="1"/>
  <c r="AQ501" i="2" s="1"/>
  <c r="BJ500" i="2"/>
  <c r="AT501" i="2" l="1"/>
  <c r="AU501" i="2"/>
  <c r="AR501" i="2"/>
  <c r="AX501" i="2" l="1"/>
  <c r="BB501" i="2"/>
  <c r="BF501" i="2"/>
  <c r="BC501" i="2"/>
  <c r="BG501" i="2"/>
  <c r="AY501" i="2"/>
  <c r="BI501" i="2" l="1"/>
  <c r="AT502" i="2" s="1"/>
  <c r="BJ501" i="2"/>
  <c r="AQ502" i="2" l="1"/>
  <c r="AU502" i="2"/>
  <c r="AR502" i="2"/>
  <c r="AY502" i="2" l="1"/>
  <c r="BG502" i="2"/>
  <c r="BC502" i="2"/>
  <c r="AX502" i="2"/>
  <c r="BF502" i="2"/>
  <c r="BB502" i="2"/>
  <c r="BJ502" i="2" l="1"/>
  <c r="BI502" i="2"/>
  <c r="AU503" i="2" l="1"/>
  <c r="AR503" i="2"/>
  <c r="AT503" i="2"/>
  <c r="AQ503" i="2"/>
  <c r="BC503" i="2" l="1"/>
  <c r="BG503" i="2"/>
  <c r="AY503" i="2"/>
  <c r="BB503" i="2"/>
  <c r="BF503" i="2"/>
  <c r="AX503" i="2"/>
  <c r="BJ503" i="2" l="1"/>
  <c r="BI503" i="2"/>
  <c r="AU504" i="2" l="1"/>
  <c r="AR504" i="2"/>
  <c r="AQ504" i="2"/>
  <c r="AT504" i="2"/>
  <c r="BF504" i="2" l="1"/>
  <c r="AX504" i="2"/>
  <c r="BB504" i="2"/>
  <c r="BG504" i="2"/>
  <c r="AY504" i="2"/>
  <c r="BC504" i="2"/>
  <c r="BJ504" i="2" l="1"/>
  <c r="BI504" i="2"/>
  <c r="AU505" i="2" l="1"/>
  <c r="AR505" i="2"/>
  <c r="AT505" i="2"/>
  <c r="AQ505" i="2"/>
  <c r="BC505" i="2" l="1"/>
  <c r="BG505" i="2"/>
  <c r="AY505" i="2"/>
  <c r="BB505" i="2"/>
  <c r="AX505" i="2"/>
  <c r="BF505" i="2"/>
  <c r="BI505" i="2" l="1"/>
  <c r="AQ506" i="2" s="1"/>
  <c r="BJ505" i="2"/>
  <c r="AT506" i="2" l="1"/>
  <c r="AR506" i="2"/>
  <c r="AU506" i="2"/>
  <c r="AY506" i="2" l="1"/>
  <c r="BG506" i="2"/>
  <c r="BC506" i="2"/>
  <c r="BB506" i="2"/>
  <c r="AX506" i="2"/>
  <c r="BF506" i="2"/>
  <c r="BJ506" i="2" l="1"/>
  <c r="BI506" i="2"/>
  <c r="AT507" i="2" l="1"/>
  <c r="AQ507" i="2"/>
  <c r="AU507" i="2"/>
  <c r="AR507" i="2"/>
  <c r="BF507" i="2" l="1"/>
  <c r="AX507" i="2"/>
  <c r="BB507" i="2"/>
  <c r="BG507" i="2"/>
  <c r="AY507" i="2"/>
  <c r="BC507" i="2"/>
  <c r="BJ507" i="2" l="1"/>
  <c r="BI507" i="2"/>
  <c r="AQ508" i="2" l="1"/>
  <c r="AT508" i="2"/>
  <c r="AR508" i="2"/>
  <c r="AU508" i="2"/>
  <c r="BB508" i="2" l="1"/>
  <c r="BF508" i="2"/>
  <c r="AX508" i="2"/>
  <c r="BG508" i="2"/>
  <c r="BC508" i="2"/>
  <c r="AY508" i="2"/>
  <c r="BJ508" i="2" l="1"/>
  <c r="BI508" i="2"/>
  <c r="AU509" i="2" l="1"/>
  <c r="AR509" i="2"/>
  <c r="AQ509" i="2"/>
  <c r="AT509" i="2"/>
  <c r="AX509" i="2" l="1"/>
  <c r="BB509" i="2"/>
  <c r="BF509" i="2"/>
  <c r="AY509" i="2"/>
  <c r="BC509" i="2"/>
  <c r="BG509" i="2"/>
  <c r="BJ509" i="2" l="1"/>
  <c r="AU510" i="2" s="1"/>
  <c r="BI509" i="2"/>
  <c r="AQ510" i="2" s="1"/>
  <c r="AT510" i="2" l="1"/>
  <c r="AR510" i="2"/>
  <c r="BB510" i="2" s="1"/>
  <c r="BC510" i="2"/>
  <c r="BG510" i="2"/>
  <c r="BF510" i="2"/>
  <c r="AY510" i="2" l="1"/>
  <c r="AX510" i="2"/>
  <c r="BI510" i="2" s="1"/>
  <c r="BJ510" i="2"/>
  <c r="AQ511" i="2" l="1"/>
  <c r="AT511" i="2"/>
  <c r="AR511" i="2"/>
  <c r="AU511" i="2"/>
  <c r="BF511" i="2" l="1"/>
  <c r="BB511" i="2"/>
  <c r="AX511" i="2"/>
  <c r="BG511" i="2"/>
  <c r="AY511" i="2"/>
  <c r="BC511" i="2"/>
  <c r="BI511" i="2" l="1"/>
  <c r="AT512" i="2" s="1"/>
  <c r="BJ511" i="2"/>
  <c r="AQ512" i="2" l="1"/>
  <c r="AU512" i="2"/>
  <c r="AR512" i="2"/>
  <c r="AX512" i="2" l="1"/>
  <c r="BF512" i="2"/>
  <c r="AY512" i="2"/>
  <c r="BC512" i="2"/>
  <c r="BB512" i="2"/>
  <c r="BG512" i="2"/>
  <c r="BI512" i="2" l="1"/>
  <c r="AT513" i="2"/>
  <c r="AQ513" i="2"/>
  <c r="BJ512" i="2"/>
  <c r="AU513" i="2" l="1"/>
  <c r="AR513" i="2"/>
  <c r="BB513" i="2" l="1"/>
  <c r="BF513" i="2"/>
  <c r="AX513" i="2"/>
  <c r="AY513" i="2"/>
  <c r="BC513" i="2"/>
  <c r="BG513" i="2"/>
  <c r="BI513" i="2" l="1"/>
  <c r="AQ514" i="2" s="1"/>
  <c r="BJ513" i="2"/>
  <c r="AU514" i="2" s="1"/>
  <c r="AR514" i="2" l="1"/>
  <c r="AT514" i="2"/>
  <c r="BF514" i="2"/>
  <c r="AX514" i="2"/>
  <c r="BB514" i="2"/>
  <c r="BG514" i="2"/>
  <c r="AY514" i="2"/>
  <c r="BC514" i="2"/>
  <c r="BJ514" i="2" l="1"/>
  <c r="BI514" i="2"/>
  <c r="AT515" i="2" l="1"/>
  <c r="AQ515" i="2"/>
  <c r="AR515" i="2"/>
  <c r="AU515" i="2"/>
  <c r="BG515" i="2" l="1"/>
  <c r="BC515" i="2"/>
  <c r="AY515" i="2"/>
  <c r="AX515" i="2"/>
  <c r="BB515" i="2"/>
  <c r="BF515" i="2"/>
  <c r="BI515" i="2" l="1"/>
  <c r="BJ515" i="2"/>
  <c r="AU516" i="2" l="1"/>
  <c r="AR516" i="2"/>
  <c r="AT516" i="2"/>
  <c r="AQ516" i="2"/>
  <c r="BF516" i="2" l="1"/>
  <c r="AX516" i="2"/>
  <c r="BB516" i="2"/>
  <c r="BG516" i="2"/>
  <c r="BC516" i="2"/>
  <c r="AY516" i="2"/>
  <c r="BJ516" i="2" l="1"/>
  <c r="BI516" i="2"/>
  <c r="AT517" i="2" l="1"/>
  <c r="AQ517" i="2"/>
  <c r="AU517" i="2"/>
  <c r="AR517" i="2"/>
  <c r="BG517" i="2" l="1"/>
  <c r="BC517" i="2"/>
  <c r="AY517" i="2"/>
  <c r="BB517" i="2"/>
  <c r="BF517" i="2"/>
  <c r="AX517" i="2"/>
  <c r="BI517" i="2" l="1"/>
  <c r="AT518" i="2" s="1"/>
  <c r="AQ518" i="2"/>
  <c r="BJ517" i="2"/>
  <c r="AR518" i="2" l="1"/>
  <c r="BF518" i="2" s="1"/>
  <c r="AU518" i="2"/>
  <c r="BB518" i="2" l="1"/>
  <c r="AX518" i="2"/>
  <c r="BG518" i="2"/>
  <c r="BC518" i="2"/>
  <c r="AY518" i="2"/>
  <c r="BI518" i="2" l="1"/>
  <c r="AT519" i="2" s="1"/>
  <c r="AQ519" i="2"/>
  <c r="BJ518" i="2"/>
  <c r="AR519" i="2" l="1"/>
  <c r="AU519" i="2"/>
  <c r="AY519" i="2" l="1"/>
  <c r="BG519" i="2"/>
  <c r="BC519" i="2"/>
  <c r="AX519" i="2"/>
  <c r="BF519" i="2"/>
  <c r="BB519" i="2"/>
  <c r="BJ519" i="2" l="1"/>
  <c r="BI519" i="2"/>
  <c r="AT520" i="2" l="1"/>
  <c r="AQ520" i="2"/>
  <c r="AR520" i="2"/>
  <c r="AU520" i="2"/>
  <c r="AY520" i="2" l="1"/>
  <c r="BC520" i="2"/>
  <c r="BG520" i="2"/>
  <c r="BB520" i="2"/>
  <c r="AX520" i="2"/>
  <c r="BF520" i="2"/>
  <c r="BI520" i="2" l="1"/>
  <c r="BJ520" i="2"/>
  <c r="AU521" i="2" l="1"/>
  <c r="AR521" i="2"/>
  <c r="AQ521" i="2"/>
  <c r="AT521" i="2"/>
  <c r="BF521" i="2" l="1"/>
  <c r="BG521" i="2"/>
  <c r="BC521" i="2"/>
  <c r="AY521" i="2"/>
  <c r="AX521" i="2"/>
  <c r="BB521" i="2"/>
  <c r="BI521" i="2" l="1"/>
  <c r="AT522" i="2" s="1"/>
  <c r="BJ521" i="2"/>
  <c r="AQ522" i="2"/>
  <c r="AU522" i="2" l="1"/>
  <c r="AR522" i="2"/>
  <c r="BG522" i="2" l="1"/>
  <c r="BC522" i="2"/>
  <c r="AY522" i="2"/>
  <c r="BF522" i="2"/>
  <c r="AX522" i="2"/>
  <c r="BB522" i="2"/>
  <c r="BI522" i="2" l="1"/>
  <c r="BJ522" i="2"/>
  <c r="AU523" i="2" l="1"/>
  <c r="AR523" i="2"/>
  <c r="AT523" i="2"/>
  <c r="AQ523" i="2"/>
  <c r="BB523" i="2" l="1"/>
  <c r="AX523" i="2"/>
  <c r="BF523" i="2"/>
  <c r="AY523" i="2"/>
  <c r="BC523" i="2"/>
  <c r="BG523" i="2"/>
  <c r="BJ523" i="2" l="1"/>
  <c r="AR524" i="2" s="1"/>
  <c r="BI523" i="2"/>
  <c r="AT524" i="2" s="1"/>
  <c r="AU524" i="2" l="1"/>
  <c r="AQ524" i="2"/>
  <c r="AY524" i="2" l="1"/>
  <c r="BG524" i="2"/>
  <c r="BF524" i="2"/>
  <c r="BC524" i="2"/>
  <c r="BB524" i="2"/>
  <c r="AX524" i="2"/>
  <c r="BJ524" i="2" l="1"/>
  <c r="BI524" i="2"/>
  <c r="AT525" i="2" l="1"/>
  <c r="AQ525" i="2"/>
  <c r="AR525" i="2"/>
  <c r="AU525" i="2"/>
  <c r="BC525" i="2" l="1"/>
  <c r="AY525" i="2"/>
  <c r="BG525" i="2"/>
  <c r="BB525" i="2"/>
  <c r="AX525" i="2"/>
  <c r="BF525" i="2"/>
  <c r="BJ525" i="2" l="1"/>
  <c r="AU526" i="2" s="1"/>
  <c r="BI525" i="2"/>
  <c r="AR526" i="2"/>
  <c r="AT526" i="2" l="1"/>
  <c r="AQ526" i="2"/>
  <c r="BG526" i="2" l="1"/>
  <c r="BC526" i="2"/>
  <c r="AX526" i="2"/>
  <c r="AY526" i="2"/>
  <c r="BB526" i="2"/>
  <c r="BF526" i="2"/>
  <c r="BI526" i="2" l="1"/>
  <c r="AQ527" i="2" s="1"/>
  <c r="BJ526" i="2"/>
  <c r="AT527" i="2" l="1"/>
  <c r="AU527" i="2"/>
  <c r="AR527" i="2"/>
  <c r="BB527" i="2" l="1"/>
  <c r="AX527" i="2"/>
  <c r="BF527" i="2"/>
  <c r="BC527" i="2"/>
  <c r="AY527" i="2"/>
  <c r="BG527" i="2"/>
  <c r="BJ527" i="2" l="1"/>
  <c r="AR528" i="2" s="1"/>
  <c r="BI527" i="2"/>
  <c r="AU528" i="2"/>
  <c r="AQ528" i="2" l="1"/>
  <c r="AT528" i="2"/>
  <c r="AY528" i="2" l="1"/>
  <c r="BG528" i="2"/>
  <c r="BB528" i="2"/>
  <c r="BC528" i="2"/>
  <c r="BF528" i="2"/>
  <c r="AX528" i="2"/>
  <c r="BI528" i="2" l="1"/>
  <c r="AQ529" i="2" s="1"/>
  <c r="BJ528" i="2"/>
  <c r="AT529" i="2" l="1"/>
  <c r="AU529" i="2"/>
  <c r="AR529" i="2"/>
  <c r="AX529" i="2" l="1"/>
  <c r="BB529" i="2"/>
  <c r="BF529" i="2"/>
  <c r="AY529" i="2"/>
  <c r="BG529" i="2"/>
  <c r="BC529" i="2"/>
  <c r="BI529" i="2" l="1"/>
  <c r="BJ529" i="2"/>
  <c r="AT530" i="2" l="1"/>
  <c r="AQ530" i="2"/>
  <c r="AU530" i="2"/>
  <c r="AR530" i="2"/>
  <c r="AY530" i="2" l="1"/>
  <c r="BC530" i="2"/>
  <c r="AX530" i="2"/>
  <c r="BB530" i="2"/>
  <c r="BG530" i="2"/>
  <c r="BF530" i="2"/>
  <c r="BJ530" i="2" l="1"/>
  <c r="AR531" i="2" s="1"/>
  <c r="BI530" i="2"/>
  <c r="AQ531" i="2" s="1"/>
  <c r="AU531" i="2"/>
  <c r="BG531" i="2" l="1"/>
  <c r="AX531" i="2"/>
  <c r="AY531" i="2"/>
  <c r="BC531" i="2"/>
  <c r="BB531" i="2"/>
  <c r="AT531" i="2"/>
  <c r="BF531" i="2"/>
  <c r="BJ531" i="2" l="1"/>
  <c r="AR532" i="2" s="1"/>
  <c r="BI531" i="2"/>
  <c r="AT532" i="2" s="1"/>
  <c r="AU532" i="2" l="1"/>
  <c r="AQ532" i="2"/>
  <c r="AX532" i="2" s="1"/>
  <c r="BF532" i="2" l="1"/>
  <c r="BC532" i="2"/>
  <c r="AY532" i="2"/>
  <c r="BG532" i="2"/>
  <c r="BB532" i="2"/>
  <c r="BI532" i="2" s="1"/>
  <c r="AT533" i="2" s="1"/>
  <c r="BJ532" i="2" l="1"/>
  <c r="AQ533" i="2"/>
  <c r="AU533" i="2"/>
  <c r="AR533" i="2"/>
  <c r="BF533" i="2" l="1"/>
  <c r="BC533" i="2"/>
  <c r="AY533" i="2"/>
  <c r="BG533" i="2"/>
  <c r="BB533" i="2"/>
  <c r="AX533" i="2"/>
  <c r="BI533" i="2" l="1"/>
  <c r="AQ534" i="2" s="1"/>
  <c r="BJ533" i="2"/>
  <c r="AR534" i="2" s="1"/>
  <c r="AU534" i="2" l="1"/>
  <c r="AY534" i="2"/>
  <c r="AT534" i="2"/>
  <c r="BG534" i="2"/>
  <c r="BC534" i="2"/>
  <c r="AX534" i="2"/>
  <c r="BF534" i="2"/>
  <c r="BB534" i="2"/>
  <c r="BJ534" i="2" l="1"/>
  <c r="AR535" i="2" s="1"/>
  <c r="AU535" i="2"/>
  <c r="BI534" i="2"/>
  <c r="AT535" i="2" l="1"/>
  <c r="AQ535" i="2"/>
  <c r="AX535" i="2" l="1"/>
  <c r="BF535" i="2"/>
  <c r="AY535" i="2"/>
  <c r="BC535" i="2"/>
  <c r="BB535" i="2"/>
  <c r="BG535" i="2"/>
  <c r="BJ535" i="2" l="1"/>
  <c r="BI535" i="2"/>
  <c r="AU536" i="2" l="1"/>
  <c r="AR536" i="2"/>
  <c r="AT536" i="2"/>
  <c r="AQ536" i="2"/>
  <c r="AY536" i="2" l="1"/>
  <c r="BC536" i="2"/>
  <c r="BB536" i="2"/>
  <c r="BF536" i="2"/>
  <c r="BG536" i="2"/>
  <c r="BJ536" i="2" s="1"/>
  <c r="AU537" i="2" s="1"/>
  <c r="AX536" i="2"/>
  <c r="BI536" i="2" l="1"/>
  <c r="AR537" i="2"/>
  <c r="AT537" i="2"/>
  <c r="AQ537" i="2"/>
  <c r="AY537" i="2" l="1"/>
  <c r="BC537" i="2"/>
  <c r="BG537" i="2"/>
  <c r="BF537" i="2"/>
  <c r="AX537" i="2"/>
  <c r="BB537" i="2"/>
  <c r="BJ537" i="2" l="1"/>
  <c r="AU538" i="2" s="1"/>
  <c r="BI537" i="2"/>
  <c r="AT538" i="2" s="1"/>
  <c r="AQ538" i="2" l="1"/>
  <c r="AR538" i="2"/>
  <c r="BC538" i="2" s="1"/>
  <c r="BF538" i="2"/>
  <c r="BB538" i="2"/>
  <c r="AX538" i="2" l="1"/>
  <c r="AY538" i="2"/>
  <c r="BG538" i="2"/>
  <c r="BJ538" i="2" s="1"/>
  <c r="BI538" i="2"/>
  <c r="AT539" i="2" l="1"/>
  <c r="AQ539" i="2"/>
  <c r="AU539" i="2"/>
  <c r="AR539" i="2"/>
  <c r="BG539" i="2" l="1"/>
  <c r="AY539" i="2"/>
  <c r="BC539" i="2"/>
  <c r="BB539" i="2"/>
  <c r="BF539" i="2"/>
  <c r="AX539" i="2"/>
  <c r="BI539" i="2" l="1"/>
  <c r="AT540" i="2" s="1"/>
  <c r="BJ539" i="2"/>
  <c r="AQ540" i="2"/>
  <c r="AR540" i="2" l="1"/>
  <c r="AU540" i="2"/>
  <c r="BB540" i="2"/>
  <c r="BC540" i="2"/>
  <c r="AY540" i="2"/>
  <c r="BG540" i="2"/>
  <c r="BF540" i="2"/>
  <c r="AX540" i="2" l="1"/>
  <c r="BJ540" i="2"/>
  <c r="BI540" i="2"/>
  <c r="AT541" i="2" l="1"/>
  <c r="AQ541" i="2"/>
  <c r="AU541" i="2"/>
  <c r="AR541" i="2"/>
  <c r="AY541" i="2" l="1"/>
  <c r="BC541" i="2"/>
  <c r="BG541" i="2"/>
  <c r="AX541" i="2"/>
  <c r="BB541" i="2"/>
  <c r="BF541" i="2"/>
  <c r="BI541" i="2" l="1"/>
  <c r="AQ542" i="2" s="1"/>
  <c r="BJ541" i="2"/>
  <c r="AU542" i="2" s="1"/>
  <c r="AT542" i="2" l="1"/>
  <c r="AR542" i="2"/>
  <c r="BG542" i="2" l="1"/>
  <c r="BB542" i="2"/>
  <c r="AY542" i="2"/>
  <c r="AX542" i="2"/>
  <c r="BC542" i="2"/>
  <c r="BF542" i="2"/>
  <c r="BI542" i="2" l="1"/>
  <c r="AT543" i="2" s="1"/>
  <c r="BJ542" i="2"/>
  <c r="AQ543" i="2" l="1"/>
  <c r="AR543" i="2"/>
  <c r="AU543" i="2"/>
  <c r="AX543" i="2" l="1"/>
  <c r="BF543" i="2"/>
  <c r="AY543" i="2"/>
  <c r="BB543" i="2"/>
  <c r="BC543" i="2"/>
  <c r="BG543" i="2"/>
  <c r="BJ543" i="2" l="1"/>
  <c r="AU544" i="2" s="1"/>
  <c r="BI543" i="2"/>
  <c r="AR544" i="2" l="1"/>
  <c r="AT544" i="2"/>
  <c r="AQ544" i="2"/>
  <c r="BG544" i="2" l="1"/>
  <c r="AY544" i="2"/>
  <c r="BB544" i="2"/>
  <c r="BC544" i="2"/>
  <c r="BF544" i="2"/>
  <c r="AX544" i="2"/>
  <c r="BI544" i="2" l="1"/>
  <c r="AT545" i="2" s="1"/>
  <c r="BJ544" i="2"/>
  <c r="AQ545" i="2" l="1"/>
  <c r="AU545" i="2"/>
  <c r="AR545" i="2"/>
  <c r="BC545" i="2" l="1"/>
  <c r="AY545" i="2"/>
  <c r="BB545" i="2"/>
  <c r="AX545" i="2"/>
  <c r="BG545" i="2"/>
  <c r="BF545" i="2"/>
  <c r="BJ545" i="2" l="1"/>
  <c r="AU546" i="2" s="1"/>
  <c r="AR546" i="2"/>
  <c r="BI545" i="2"/>
  <c r="AQ546" i="2" s="1"/>
  <c r="AX546" i="2" l="1"/>
  <c r="AT546" i="2"/>
  <c r="BG546" i="2"/>
  <c r="BB546" i="2"/>
  <c r="AY546" i="2"/>
  <c r="BF546" i="2"/>
  <c r="BC546" i="2"/>
  <c r="BJ546" i="2" l="1"/>
  <c r="AU547" i="2" s="1"/>
  <c r="BI546" i="2"/>
  <c r="AQ547" i="2" s="1"/>
  <c r="AR547" i="2" l="1"/>
  <c r="AY547" i="2" s="1"/>
  <c r="AT547" i="2"/>
  <c r="BB547" i="2" l="1"/>
  <c r="AX547" i="2"/>
  <c r="BG547" i="2"/>
  <c r="BF547" i="2"/>
  <c r="BC547" i="2"/>
  <c r="BJ547" i="2" s="1"/>
  <c r="BI547" i="2" l="1"/>
  <c r="AT548" i="2" s="1"/>
  <c r="AQ548" i="2"/>
  <c r="AU548" i="2"/>
  <c r="AR548" i="2"/>
  <c r="BB548" i="2" l="1"/>
  <c r="BC548" i="2"/>
  <c r="BG548" i="2"/>
  <c r="AY548" i="2"/>
  <c r="BF548" i="2"/>
  <c r="AX548" i="2"/>
  <c r="BI548" i="2" l="1"/>
  <c r="BJ548" i="2"/>
  <c r="AU549" i="2" l="1"/>
  <c r="AR549" i="2"/>
  <c r="AT549" i="2"/>
  <c r="AQ549" i="2"/>
  <c r="BG549" i="2" l="1"/>
  <c r="BC549" i="2"/>
  <c r="AY549" i="2"/>
  <c r="BF549" i="2"/>
  <c r="BB549" i="2"/>
  <c r="AX549" i="2"/>
  <c r="BI549" i="2" l="1"/>
  <c r="AT550" i="2" s="1"/>
  <c r="BJ549" i="2"/>
  <c r="AQ550" i="2" l="1"/>
  <c r="AR550" i="2"/>
  <c r="AU550" i="2"/>
  <c r="BF550" i="2" l="1"/>
  <c r="BB550" i="2"/>
  <c r="AX550" i="2"/>
  <c r="BC550" i="2"/>
  <c r="AY550" i="2"/>
  <c r="BG550" i="2"/>
  <c r="BI550" i="2" l="1"/>
  <c r="BJ550" i="2"/>
  <c r="AU551" i="2" s="1"/>
  <c r="AT551" i="2"/>
  <c r="AQ551" i="2"/>
  <c r="AR551" i="2" l="1"/>
  <c r="BB551" i="2" s="1"/>
  <c r="AX551" i="2" l="1"/>
  <c r="BG551" i="2"/>
  <c r="AY551" i="2"/>
  <c r="BC551" i="2"/>
  <c r="BJ551" i="2" s="1"/>
  <c r="BF551" i="2"/>
  <c r="BI551" i="2" s="1"/>
  <c r="AT552" i="2" l="1"/>
  <c r="AQ552" i="2"/>
  <c r="AU552" i="2"/>
  <c r="AR552" i="2"/>
  <c r="AX552" i="2" l="1"/>
  <c r="BF552" i="2"/>
  <c r="BB552" i="2"/>
  <c r="BC552" i="2"/>
  <c r="AY552" i="2"/>
  <c r="BG552" i="2"/>
  <c r="BJ552" i="2" l="1"/>
  <c r="AU553" i="2" s="1"/>
  <c r="BI552" i="2"/>
  <c r="AR553" i="2" l="1"/>
  <c r="AT553" i="2"/>
  <c r="AQ553" i="2"/>
  <c r="AX553" i="2" l="1"/>
  <c r="BF553" i="2"/>
  <c r="BB553" i="2"/>
  <c r="AY553" i="2"/>
  <c r="BC553" i="2"/>
  <c r="BG553" i="2"/>
  <c r="BJ553" i="2" l="1"/>
  <c r="AU554" i="2" s="1"/>
  <c r="BI553" i="2"/>
  <c r="AR554" i="2" l="1"/>
  <c r="AQ554" i="2"/>
  <c r="AT554" i="2"/>
  <c r="BG554" i="2" l="1"/>
  <c r="BB554" i="2"/>
  <c r="BF554" i="2"/>
  <c r="AX554" i="2"/>
  <c r="AY554" i="2"/>
  <c r="BC554" i="2"/>
  <c r="BJ554" i="2" l="1"/>
  <c r="AR555" i="2"/>
  <c r="AU555" i="2"/>
  <c r="BI554" i="2"/>
  <c r="AT555" i="2" l="1"/>
  <c r="AQ555" i="2"/>
  <c r="AY555" i="2" l="1"/>
  <c r="AX555" i="2"/>
  <c r="BB555" i="2"/>
  <c r="BF555" i="2"/>
  <c r="BC555" i="2"/>
  <c r="BG555" i="2"/>
  <c r="BI555" i="2" l="1"/>
  <c r="AT556" i="2" s="1"/>
  <c r="BJ555" i="2"/>
  <c r="AQ556" i="2" l="1"/>
  <c r="AR556" i="2"/>
  <c r="AU556" i="2"/>
  <c r="AX556" i="2" l="1"/>
  <c r="BB556" i="2"/>
  <c r="BF556" i="2"/>
  <c r="AY556" i="2"/>
  <c r="BG556" i="2"/>
  <c r="BC556" i="2"/>
  <c r="BI556" i="2" l="1"/>
  <c r="AT557" i="2" s="1"/>
  <c r="AQ557" i="2"/>
  <c r="BJ556" i="2"/>
  <c r="AU557" i="2" l="1"/>
  <c r="AR557" i="2"/>
  <c r="AY557" i="2" l="1"/>
  <c r="BG557" i="2"/>
  <c r="BC557" i="2"/>
  <c r="BB557" i="2"/>
  <c r="BF557" i="2"/>
  <c r="AX557" i="2"/>
  <c r="BJ557" i="2" l="1"/>
  <c r="BI557" i="2"/>
  <c r="AT558" i="2" l="1"/>
  <c r="AQ558" i="2"/>
  <c r="AR558" i="2"/>
  <c r="AU558" i="2"/>
  <c r="BF558" i="2" l="1"/>
  <c r="BB558" i="2"/>
  <c r="AX558" i="2"/>
  <c r="BG558" i="2"/>
  <c r="BC558" i="2"/>
  <c r="AY558" i="2"/>
  <c r="BJ558" i="2" l="1"/>
  <c r="BI558" i="2"/>
  <c r="AQ559" i="2" l="1"/>
  <c r="AT559" i="2"/>
  <c r="AU559" i="2"/>
  <c r="AR559" i="2"/>
  <c r="BG559" i="2" l="1"/>
  <c r="BC559" i="2"/>
  <c r="AY559" i="2"/>
  <c r="BB559" i="2"/>
  <c r="BF559" i="2"/>
  <c r="AX559" i="2"/>
  <c r="BI559" i="2" l="1"/>
  <c r="BJ559" i="2"/>
  <c r="AU560" i="2" l="1"/>
  <c r="AR560" i="2"/>
  <c r="AT560" i="2"/>
  <c r="AQ560" i="2"/>
  <c r="AY560" i="2" l="1"/>
  <c r="BC560" i="2"/>
  <c r="BG560" i="2"/>
  <c r="BF560" i="2"/>
  <c r="AX560" i="2"/>
  <c r="BB560" i="2"/>
  <c r="BJ560" i="2" l="1"/>
  <c r="AU561" i="2" s="1"/>
  <c r="BI560" i="2"/>
  <c r="AR561" i="2" l="1"/>
  <c r="AT561" i="2"/>
  <c r="AQ561" i="2"/>
  <c r="BB561" i="2" l="1"/>
  <c r="BF561" i="2"/>
  <c r="AX561" i="2"/>
  <c r="AY561" i="2"/>
  <c r="BG561" i="2"/>
  <c r="BC561" i="2"/>
  <c r="BJ561" i="2" l="1"/>
  <c r="AU562" i="2" s="1"/>
  <c r="BI561" i="2"/>
  <c r="AR562" i="2" l="1"/>
  <c r="AT562" i="2"/>
  <c r="AQ562" i="2"/>
  <c r="AX562" i="2" l="1"/>
  <c r="BF562" i="2"/>
  <c r="BB562" i="2"/>
  <c r="BG562" i="2"/>
  <c r="AY562" i="2"/>
  <c r="BC562" i="2"/>
  <c r="BJ562" i="2" l="1"/>
  <c r="BI562" i="2"/>
  <c r="AQ563" i="2" l="1"/>
  <c r="AT563" i="2"/>
  <c r="AR563" i="2"/>
  <c r="AU563" i="2"/>
  <c r="AY563" i="2" l="1"/>
  <c r="BC563" i="2"/>
  <c r="BG563" i="2"/>
  <c r="AX563" i="2"/>
  <c r="BF563" i="2"/>
  <c r="BB563" i="2"/>
  <c r="BI563" i="2" l="1"/>
  <c r="AT564" i="2" s="1"/>
  <c r="BJ563" i="2"/>
  <c r="AQ564" i="2"/>
  <c r="AU564" i="2" l="1"/>
  <c r="AR564" i="2"/>
  <c r="BG564" i="2" l="1"/>
  <c r="AY564" i="2"/>
  <c r="BC564" i="2"/>
  <c r="BB564" i="2"/>
  <c r="AX564" i="2"/>
  <c r="BF564" i="2"/>
  <c r="BI564" i="2" l="1"/>
  <c r="BJ564" i="2"/>
  <c r="AR565" i="2" l="1"/>
  <c r="AU565" i="2"/>
  <c r="AT565" i="2"/>
  <c r="AQ565" i="2"/>
  <c r="AX565" i="2" l="1"/>
  <c r="BF565" i="2"/>
  <c r="BB565" i="2"/>
  <c r="AY565" i="2"/>
  <c r="BG565" i="2"/>
  <c r="BC565" i="2"/>
  <c r="BJ565" i="2" l="1"/>
  <c r="BI565" i="2"/>
  <c r="AT566" i="2" l="1"/>
  <c r="AQ566" i="2"/>
  <c r="AU566" i="2"/>
  <c r="AR566" i="2"/>
  <c r="BF566" i="2" l="1"/>
  <c r="BB566" i="2"/>
  <c r="AX566" i="2"/>
  <c r="BC566" i="2"/>
  <c r="BG566" i="2"/>
  <c r="AY566" i="2"/>
  <c r="BJ566" i="2" l="1"/>
  <c r="AU567" i="2" s="1"/>
  <c r="BI566" i="2"/>
  <c r="AR567" i="2" l="1"/>
  <c r="AT567" i="2"/>
  <c r="AQ567" i="2"/>
  <c r="BF567" i="2" l="1"/>
  <c r="AX567" i="2"/>
  <c r="BB567" i="2"/>
  <c r="BC567" i="2"/>
  <c r="AY567" i="2"/>
  <c r="BG567" i="2"/>
  <c r="BJ567" i="2" l="1"/>
  <c r="BI567" i="2"/>
  <c r="AQ568" i="2" l="1"/>
  <c r="AT568" i="2"/>
  <c r="AU568" i="2"/>
  <c r="AR568" i="2"/>
  <c r="BC568" i="2" l="1"/>
  <c r="AY568" i="2"/>
  <c r="BG568" i="2"/>
  <c r="BB568" i="2"/>
  <c r="AX568" i="2"/>
  <c r="BF568" i="2"/>
  <c r="BJ568" i="2" l="1"/>
  <c r="AR569" i="2" s="1"/>
  <c r="BI568" i="2"/>
  <c r="AU569" i="2" l="1"/>
  <c r="AT569" i="2"/>
  <c r="AQ569" i="2"/>
  <c r="AX569" i="2" l="1"/>
  <c r="BB569" i="2"/>
  <c r="BF569" i="2"/>
  <c r="BG569" i="2"/>
  <c r="AY569" i="2"/>
  <c r="BC569" i="2"/>
  <c r="BJ569" i="2" l="1"/>
  <c r="AU570" i="2" s="1"/>
  <c r="BI569" i="2"/>
  <c r="AT570" i="2" s="1"/>
  <c r="AQ570" i="2" l="1"/>
  <c r="AR570" i="2"/>
  <c r="AX570" i="2" l="1"/>
  <c r="BG570" i="2"/>
  <c r="BF570" i="2"/>
  <c r="BB570" i="2"/>
  <c r="AY570" i="2"/>
  <c r="BC570" i="2"/>
  <c r="BJ570" i="2" l="1"/>
  <c r="AU571" i="2" s="1"/>
  <c r="BI570" i="2"/>
  <c r="AT571" i="2"/>
  <c r="AQ571" i="2"/>
  <c r="AR571" i="2"/>
  <c r="AX571" i="2" s="1"/>
  <c r="AY571" i="2" l="1"/>
  <c r="BG571" i="2"/>
  <c r="BC571" i="2"/>
  <c r="BF571" i="2"/>
  <c r="BB571" i="2"/>
  <c r="BI571" i="2" l="1"/>
  <c r="BJ571" i="2"/>
  <c r="AT572" i="2"/>
  <c r="AQ572" i="2"/>
  <c r="AU572" i="2"/>
  <c r="AR572" i="2"/>
  <c r="BF572" i="2" l="1"/>
  <c r="BG572" i="2"/>
  <c r="AY572" i="2"/>
  <c r="BC572" i="2"/>
  <c r="BB572" i="2"/>
  <c r="AX572" i="2"/>
  <c r="BI572" i="2" l="1"/>
  <c r="AT573" i="2" s="1"/>
  <c r="BJ572" i="2"/>
  <c r="AQ573" i="2" l="1"/>
  <c r="AU573" i="2"/>
  <c r="AR573" i="2"/>
  <c r="BC573" i="2" l="1"/>
  <c r="BG573" i="2"/>
  <c r="AY573" i="2"/>
  <c r="BB573" i="2"/>
  <c r="AX573" i="2"/>
  <c r="BF573" i="2"/>
  <c r="BI573" i="2" l="1"/>
  <c r="AQ574" i="2" s="1"/>
  <c r="BJ573" i="2"/>
  <c r="AT574" i="2" l="1"/>
  <c r="AU574" i="2"/>
  <c r="AR574" i="2"/>
  <c r="BF574" i="2" l="1"/>
  <c r="BB574" i="2"/>
  <c r="AX574" i="2"/>
  <c r="AY574" i="2"/>
  <c r="BG574" i="2"/>
  <c r="BC574" i="2"/>
  <c r="BI574" i="2" l="1"/>
  <c r="BJ574" i="2"/>
  <c r="AT575" i="2"/>
  <c r="AQ575" i="2"/>
  <c r="AR575" i="2" l="1"/>
  <c r="AU575" i="2"/>
  <c r="BF575" i="2" l="1"/>
  <c r="AY575" i="2"/>
  <c r="BG575" i="2"/>
  <c r="BC575" i="2"/>
  <c r="AX575" i="2"/>
  <c r="BB575" i="2"/>
  <c r="BI575" i="2" l="1"/>
  <c r="AQ576" i="2" s="1"/>
  <c r="BJ575" i="2"/>
  <c r="AT576" i="2" l="1"/>
  <c r="AU576" i="2"/>
  <c r="AR576" i="2"/>
  <c r="BB576" i="2" l="1"/>
  <c r="AX576" i="2"/>
  <c r="BC576" i="2"/>
  <c r="AY576" i="2"/>
  <c r="BG576" i="2"/>
  <c r="BF576" i="2"/>
  <c r="BI576" i="2" s="1"/>
  <c r="BJ576" i="2" l="1"/>
  <c r="AU577" i="2" s="1"/>
  <c r="AT577" i="2"/>
  <c r="AQ577" i="2"/>
  <c r="AR577" i="2"/>
  <c r="BF577" i="2" l="1"/>
  <c r="BB577" i="2"/>
  <c r="AX577" i="2"/>
  <c r="AY577" i="2"/>
  <c r="BC577" i="2"/>
  <c r="BG577" i="2"/>
  <c r="BJ577" i="2" l="1"/>
  <c r="AU578" i="2" s="1"/>
  <c r="BI577" i="2"/>
  <c r="AR578" i="2" l="1"/>
  <c r="AT578" i="2"/>
  <c r="AQ578" i="2"/>
  <c r="AX578" i="2" l="1"/>
  <c r="BB578" i="2"/>
  <c r="BF578" i="2"/>
  <c r="BG578" i="2"/>
  <c r="AY578" i="2"/>
  <c r="BC578" i="2"/>
  <c r="BI578" i="2" l="1"/>
  <c r="BJ578" i="2"/>
  <c r="AQ579" i="2" l="1"/>
  <c r="AT579" i="2"/>
  <c r="AU579" i="2"/>
  <c r="AR579" i="2"/>
  <c r="AY579" i="2" l="1"/>
  <c r="BG579" i="2"/>
  <c r="BC579" i="2"/>
  <c r="BF579" i="2"/>
  <c r="AX579" i="2"/>
  <c r="BB579" i="2"/>
  <c r="BI579" i="2" l="1"/>
  <c r="BJ579" i="2"/>
  <c r="AU580" i="2" l="1"/>
  <c r="AR580" i="2"/>
  <c r="AQ580" i="2"/>
  <c r="AT580" i="2"/>
  <c r="BC580" i="2" l="1"/>
  <c r="AY580" i="2"/>
  <c r="BG580" i="2"/>
  <c r="AX580" i="2"/>
  <c r="BB580" i="2"/>
  <c r="BF580" i="2"/>
  <c r="BJ580" i="2" l="1"/>
  <c r="AU581" i="2" s="1"/>
  <c r="BI580" i="2"/>
  <c r="AR581" i="2"/>
  <c r="AQ581" i="2" l="1"/>
  <c r="AT581" i="2"/>
  <c r="BF581" i="2" l="1"/>
  <c r="AX581" i="2"/>
  <c r="BB581" i="2"/>
  <c r="AY581" i="2"/>
  <c r="BG581" i="2"/>
  <c r="BC581" i="2"/>
  <c r="BI581" i="2" l="1"/>
  <c r="BJ581" i="2"/>
  <c r="AR582" i="2" s="1"/>
  <c r="AU582" i="2" l="1"/>
  <c r="AT582" i="2"/>
  <c r="AQ582" i="2"/>
  <c r="BC582" i="2" l="1"/>
  <c r="AY582" i="2"/>
  <c r="BG582" i="2"/>
  <c r="AX582" i="2"/>
  <c r="BF582" i="2"/>
  <c r="BB582" i="2"/>
  <c r="BJ582" i="2" l="1"/>
  <c r="AU583" i="2" s="1"/>
  <c r="BI582" i="2"/>
  <c r="AT583" i="2" s="1"/>
  <c r="AR583" i="2"/>
  <c r="AQ583" i="2" l="1"/>
  <c r="BG583" i="2" s="1"/>
  <c r="BF583" i="2" l="1"/>
  <c r="AX583" i="2"/>
  <c r="BB583" i="2"/>
  <c r="BI583" i="2" s="1"/>
  <c r="BC583" i="2"/>
  <c r="AY583" i="2"/>
  <c r="BJ583" i="2" s="1"/>
  <c r="AR584" i="2" l="1"/>
  <c r="AU584" i="2"/>
  <c r="AQ584" i="2"/>
  <c r="AT584" i="2"/>
  <c r="AY584" i="2" l="1"/>
  <c r="BF584" i="2"/>
  <c r="BB584" i="2"/>
  <c r="AX584" i="2"/>
  <c r="BC584" i="2"/>
  <c r="BG584" i="2"/>
  <c r="BI584" i="2" l="1"/>
  <c r="BJ584" i="2"/>
  <c r="AU585" i="2" l="1"/>
  <c r="AR585" i="2"/>
  <c r="AT585" i="2"/>
  <c r="AQ585" i="2"/>
  <c r="AY585" i="2" l="1"/>
  <c r="BG585" i="2"/>
  <c r="BC585" i="2"/>
  <c r="AX585" i="2"/>
  <c r="BF585" i="2"/>
  <c r="BB585" i="2"/>
  <c r="BI585" i="2" l="1"/>
  <c r="AT586" i="2" s="1"/>
  <c r="BJ585" i="2"/>
  <c r="AQ586" i="2" l="1"/>
  <c r="AU586" i="2"/>
  <c r="AR586" i="2"/>
  <c r="BF586" i="2" l="1"/>
  <c r="BG586" i="2"/>
  <c r="BC586" i="2"/>
  <c r="AY586" i="2"/>
  <c r="BB586" i="2"/>
  <c r="AX586" i="2"/>
  <c r="BI586" i="2" l="1"/>
  <c r="AT587" i="2"/>
  <c r="AQ587" i="2"/>
  <c r="BJ586" i="2"/>
  <c r="AR587" i="2" l="1"/>
  <c r="AU587" i="2"/>
  <c r="BC587" i="2" l="1"/>
  <c r="BG587" i="2"/>
  <c r="AY587" i="2"/>
  <c r="BF587" i="2"/>
  <c r="BB587" i="2"/>
  <c r="AX587" i="2"/>
  <c r="BJ587" i="2" l="1"/>
  <c r="BI587" i="2"/>
  <c r="AT588" i="2" l="1"/>
  <c r="AQ588" i="2"/>
  <c r="AR588" i="2"/>
  <c r="AU588" i="2"/>
  <c r="AX588" i="2" l="1"/>
  <c r="BF588" i="2"/>
  <c r="BB588" i="2"/>
  <c r="AY588" i="2"/>
  <c r="BG588" i="2"/>
  <c r="BC588" i="2"/>
  <c r="BJ588" i="2" l="1"/>
  <c r="BI588" i="2"/>
  <c r="AT589" i="2" l="1"/>
  <c r="AQ589" i="2"/>
  <c r="AU589" i="2"/>
  <c r="AR589" i="2"/>
  <c r="BC589" i="2" l="1"/>
  <c r="BG589" i="2"/>
  <c r="AY589" i="2"/>
  <c r="BF589" i="2"/>
  <c r="AX589" i="2"/>
  <c r="BB589" i="2"/>
  <c r="BI589" i="2" l="1"/>
  <c r="BJ589" i="2"/>
  <c r="AU590" i="2" l="1"/>
  <c r="AR590" i="2"/>
  <c r="AT590" i="2"/>
  <c r="AQ590" i="2"/>
  <c r="BG590" i="2" l="1"/>
  <c r="BC590" i="2"/>
  <c r="AY590" i="2"/>
  <c r="BF590" i="2"/>
  <c r="AX590" i="2"/>
  <c r="BB590" i="2"/>
  <c r="BI590" i="2" l="1"/>
  <c r="BJ590" i="2"/>
  <c r="AU591" i="2" l="1"/>
  <c r="AR591" i="2"/>
  <c r="AT591" i="2"/>
  <c r="AQ591" i="2"/>
  <c r="AY591" i="2" l="1"/>
  <c r="BG591" i="2"/>
  <c r="BC591" i="2"/>
  <c r="AX591" i="2"/>
  <c r="BF591" i="2"/>
  <c r="BB591" i="2"/>
  <c r="BI591" i="2" l="1"/>
  <c r="AT592" i="2" s="1"/>
  <c r="BJ591" i="2"/>
  <c r="AQ592" i="2" l="1"/>
  <c r="AR592" i="2"/>
  <c r="AU592" i="2"/>
  <c r="BB592" i="2" l="1"/>
  <c r="AX592" i="2"/>
  <c r="BF592" i="2"/>
  <c r="BC592" i="2"/>
  <c r="AY592" i="2"/>
  <c r="BG592" i="2"/>
  <c r="BI592" i="2" l="1"/>
  <c r="AT593" i="2" s="1"/>
  <c r="BJ592" i="2"/>
  <c r="AQ593" i="2"/>
  <c r="AU593" i="2" l="1"/>
  <c r="AR593" i="2"/>
  <c r="BC593" i="2"/>
  <c r="BF593" i="2" l="1"/>
  <c r="AY593" i="2"/>
  <c r="BG593" i="2"/>
  <c r="BB593" i="2"/>
  <c r="AX593" i="2"/>
  <c r="BJ593" i="2" l="1"/>
  <c r="AU594" i="2" s="1"/>
  <c r="BI593" i="2"/>
  <c r="AT594" i="2" s="1"/>
  <c r="AR594" i="2"/>
  <c r="AQ594" i="2" l="1"/>
  <c r="BF594" i="2" s="1"/>
  <c r="AY594" i="2" l="1"/>
  <c r="BC594" i="2"/>
  <c r="BG594" i="2"/>
  <c r="BB594" i="2"/>
  <c r="AX594" i="2"/>
  <c r="BJ594" i="2" l="1"/>
  <c r="AR595" i="2"/>
  <c r="AU595" i="2"/>
  <c r="BI594" i="2"/>
  <c r="AT595" i="2" s="1"/>
  <c r="AQ595" i="2" l="1"/>
  <c r="BG595" i="2"/>
  <c r="BC595" i="2"/>
  <c r="AY595" i="2"/>
  <c r="BF595" i="2"/>
  <c r="BB595" i="2"/>
  <c r="AX595" i="2"/>
  <c r="BJ595" i="2" l="1"/>
  <c r="AR596" i="2" s="1"/>
  <c r="BI595" i="2"/>
  <c r="AU596" i="2" l="1"/>
  <c r="AT596" i="2"/>
  <c r="AQ596" i="2"/>
  <c r="BG596" i="2" l="1"/>
  <c r="AX596" i="2"/>
  <c r="BB596" i="2"/>
  <c r="BF596" i="2"/>
  <c r="BC596" i="2"/>
  <c r="AY596" i="2"/>
  <c r="BI596" i="2" l="1"/>
  <c r="AQ597" i="2" s="1"/>
  <c r="BJ596" i="2"/>
  <c r="AT597" i="2"/>
  <c r="AU597" i="2" l="1"/>
  <c r="AR597" i="2"/>
  <c r="BC597" i="2" l="1"/>
  <c r="BG597" i="2"/>
  <c r="AY597" i="2"/>
  <c r="BB597" i="2"/>
  <c r="AX597" i="2"/>
  <c r="BF597" i="2"/>
  <c r="BI597" i="2" l="1"/>
  <c r="AT598" i="2" s="1"/>
  <c r="BJ597" i="2"/>
  <c r="AQ598" i="2" l="1"/>
  <c r="AU598" i="2"/>
  <c r="AR598" i="2"/>
  <c r="BG598" i="2" l="1"/>
  <c r="BC598" i="2"/>
  <c r="AY598" i="2"/>
  <c r="BF598" i="2"/>
  <c r="AX598" i="2"/>
  <c r="BB598" i="2"/>
  <c r="BI598" i="2" l="1"/>
  <c r="BJ598" i="2"/>
  <c r="AR599" i="2" l="1"/>
  <c r="AU599" i="2"/>
  <c r="AQ599" i="2"/>
  <c r="AT599" i="2"/>
  <c r="AX599" i="2" l="1"/>
  <c r="BF599" i="2"/>
  <c r="BB599" i="2"/>
  <c r="AY599" i="2"/>
  <c r="BG599" i="2"/>
  <c r="BC599" i="2"/>
  <c r="BJ599" i="2" l="1"/>
  <c r="BI599" i="2"/>
  <c r="AT600" i="2" l="1"/>
  <c r="AQ600" i="2"/>
  <c r="AU600" i="2"/>
  <c r="AR600" i="2"/>
  <c r="BB600" i="2" l="1"/>
  <c r="AX600" i="2"/>
  <c r="BF600" i="2"/>
  <c r="BG600" i="2"/>
  <c r="BC600" i="2"/>
  <c r="AY600" i="2"/>
  <c r="BI600" i="2" l="1"/>
  <c r="AT601" i="2" s="1"/>
  <c r="BJ600" i="2"/>
  <c r="AQ601" i="2" l="1"/>
  <c r="AU601" i="2"/>
  <c r="AR601" i="2"/>
  <c r="AY601" i="2" l="1"/>
  <c r="BC601" i="2"/>
  <c r="BG601" i="2"/>
  <c r="BF601" i="2"/>
  <c r="AX601" i="2"/>
  <c r="BB601" i="2"/>
  <c r="BJ601" i="2" l="1"/>
  <c r="AR602" i="2" s="1"/>
  <c r="BI601" i="2"/>
  <c r="AU602" i="2" l="1"/>
  <c r="AT602" i="2"/>
  <c r="AQ602" i="2"/>
  <c r="BB602" i="2" l="1"/>
  <c r="BF602" i="2"/>
  <c r="AX602" i="2"/>
  <c r="BG602" i="2"/>
  <c r="AY602" i="2"/>
  <c r="BC602" i="2"/>
  <c r="BJ602" i="2" l="1"/>
  <c r="BI602" i="2"/>
  <c r="AT603" i="2" l="1"/>
  <c r="AQ603" i="2"/>
  <c r="AU603" i="2"/>
  <c r="AR603" i="2"/>
  <c r="BG603" i="2" l="1"/>
  <c r="AY603" i="2"/>
  <c r="BC603" i="2"/>
  <c r="AX603" i="2"/>
  <c r="BB603" i="2"/>
  <c r="BF603" i="2"/>
  <c r="BI603" i="2" l="1"/>
  <c r="AT604" i="2" s="1"/>
  <c r="BJ603" i="2"/>
  <c r="AQ604" i="2" l="1"/>
  <c r="AU604" i="2"/>
  <c r="AR604" i="2"/>
  <c r="BG604" i="2" l="1"/>
  <c r="AY604" i="2"/>
  <c r="BC604" i="2"/>
  <c r="AX604" i="2"/>
  <c r="BF604" i="2"/>
  <c r="BB604" i="2"/>
  <c r="BI604" i="2" l="1"/>
  <c r="BJ604" i="2"/>
  <c r="AR605" i="2" l="1"/>
  <c r="AU605" i="2"/>
  <c r="AT605" i="2"/>
  <c r="AQ605" i="2"/>
  <c r="BF605" i="2" l="1"/>
  <c r="BB605" i="2"/>
  <c r="AX605" i="2"/>
  <c r="BG605" i="2"/>
  <c r="BC605" i="2"/>
  <c r="AY605" i="2"/>
  <c r="BJ605" i="2" l="1"/>
  <c r="BI605" i="2"/>
  <c r="AQ606" i="2" l="1"/>
  <c r="AT606" i="2"/>
  <c r="AR606" i="2"/>
  <c r="AU606" i="2"/>
  <c r="BG606" i="2" l="1"/>
  <c r="BC606" i="2"/>
  <c r="AY606" i="2"/>
  <c r="BF606" i="2"/>
  <c r="AX606" i="2"/>
  <c r="BB606" i="2"/>
  <c r="BI606" i="2" l="1"/>
  <c r="BJ606" i="2"/>
  <c r="AU607" i="2" l="1"/>
  <c r="AR607" i="2"/>
  <c r="AT607" i="2"/>
  <c r="AQ607" i="2"/>
  <c r="AY607" i="2" l="1"/>
  <c r="BC607" i="2"/>
  <c r="BG607" i="2"/>
  <c r="BF607" i="2"/>
  <c r="AX607" i="2"/>
  <c r="BB607" i="2"/>
  <c r="BJ607" i="2" l="1"/>
  <c r="AR608" i="2" s="1"/>
  <c r="BI607" i="2"/>
  <c r="AU608" i="2" l="1"/>
  <c r="AT608" i="2"/>
  <c r="AQ608" i="2"/>
  <c r="BF608" i="2" l="1"/>
  <c r="BB608" i="2"/>
  <c r="AX608" i="2"/>
  <c r="BC608" i="2"/>
  <c r="BG608" i="2"/>
  <c r="AY608" i="2"/>
  <c r="BJ608" i="2" l="1"/>
  <c r="AU609" i="2"/>
  <c r="AR609" i="2"/>
  <c r="BI608" i="2"/>
  <c r="AQ609" i="2" l="1"/>
  <c r="AT609" i="2"/>
  <c r="AX609" i="2" l="1"/>
  <c r="BF609" i="2"/>
  <c r="BB609" i="2"/>
  <c r="BC609" i="2"/>
  <c r="BG609" i="2"/>
  <c r="AY609" i="2"/>
  <c r="BJ609" i="2" l="1"/>
  <c r="AR610" i="2" s="1"/>
  <c r="BI609" i="2"/>
  <c r="AU610" i="2" l="1"/>
  <c r="AQ610" i="2"/>
  <c r="AT610" i="2"/>
  <c r="BG610" i="2"/>
  <c r="BC610" i="2"/>
  <c r="AY610" i="2" l="1"/>
  <c r="BJ610" i="2" s="1"/>
  <c r="BB610" i="2"/>
  <c r="AX610" i="2"/>
  <c r="BF610" i="2"/>
  <c r="BI610" i="2" l="1"/>
  <c r="AQ611" i="2" s="1"/>
  <c r="AU611" i="2"/>
  <c r="AR611" i="2"/>
  <c r="AT611" i="2" l="1"/>
  <c r="BC611" i="2"/>
  <c r="AY611" i="2"/>
  <c r="BG611" i="2"/>
  <c r="BF611" i="2"/>
  <c r="BB611" i="2"/>
  <c r="AX611" i="2"/>
  <c r="BJ611" i="2" l="1"/>
  <c r="AR612" i="2" s="1"/>
  <c r="BI611" i="2"/>
  <c r="AT612" i="2" s="1"/>
  <c r="AU612" i="2" l="1"/>
  <c r="AQ612" i="2"/>
  <c r="BC612" i="2" l="1"/>
  <c r="BB612" i="2"/>
  <c r="BG612" i="2"/>
  <c r="AY612" i="2"/>
  <c r="AX612" i="2"/>
  <c r="BF612" i="2"/>
  <c r="BJ612" i="2" l="1"/>
  <c r="AU613" i="2" s="1"/>
  <c r="BI612" i="2"/>
  <c r="AT613" i="2" s="1"/>
  <c r="AR613" i="2"/>
  <c r="AQ613" i="2" l="1"/>
  <c r="BF613" i="2" s="1"/>
  <c r="BB613" i="2"/>
  <c r="AY613" i="2"/>
  <c r="BC613" i="2"/>
  <c r="BG613" i="2"/>
  <c r="AX613" i="2" l="1"/>
  <c r="BJ613" i="2"/>
  <c r="BI613" i="2"/>
  <c r="AT614" i="2" l="1"/>
  <c r="AQ614" i="2"/>
  <c r="AU614" i="2"/>
  <c r="AR614" i="2"/>
  <c r="AX614" i="2" l="1"/>
  <c r="BF614" i="2"/>
  <c r="BB614" i="2"/>
  <c r="BG614" i="2"/>
  <c r="AY614" i="2"/>
  <c r="BC614" i="2"/>
  <c r="BJ614" i="2" l="1"/>
  <c r="BI614" i="2"/>
  <c r="AT615" i="2" l="1"/>
  <c r="AQ615" i="2"/>
  <c r="AU615" i="2"/>
  <c r="AR615" i="2"/>
  <c r="BB615" i="2" l="1"/>
  <c r="BF615" i="2"/>
  <c r="AX615" i="2"/>
  <c r="AY615" i="2"/>
  <c r="BG615" i="2"/>
  <c r="BC615" i="2"/>
  <c r="BJ615" i="2" l="1"/>
  <c r="BI615" i="2"/>
  <c r="AT616" i="2" l="1"/>
  <c r="AQ616" i="2"/>
  <c r="AU616" i="2"/>
  <c r="AR616" i="2"/>
  <c r="BF616" i="2" l="1"/>
  <c r="AX616" i="2"/>
  <c r="BB616" i="2"/>
  <c r="BC616" i="2"/>
  <c r="BG616" i="2"/>
  <c r="AY616" i="2"/>
  <c r="BJ616" i="2" l="1"/>
  <c r="BI616" i="2"/>
  <c r="AT617" i="2" l="1"/>
  <c r="AQ617" i="2"/>
  <c r="AU617" i="2"/>
  <c r="AR617" i="2"/>
  <c r="AX617" i="2" l="1"/>
  <c r="BF617" i="2"/>
  <c r="BB617" i="2"/>
  <c r="BC617" i="2"/>
  <c r="AY617" i="2"/>
  <c r="BG617" i="2"/>
  <c r="BI617" i="2" l="1"/>
  <c r="BJ617" i="2"/>
  <c r="AU618" i="2" l="1"/>
  <c r="AR618" i="2"/>
  <c r="AT618" i="2"/>
  <c r="AQ618" i="2"/>
  <c r="AY618" i="2" l="1"/>
  <c r="BC618" i="2"/>
  <c r="BG618" i="2"/>
  <c r="BB618" i="2"/>
  <c r="AX618" i="2"/>
  <c r="BF618" i="2"/>
  <c r="BI618" i="2" l="1"/>
  <c r="AT619" i="2" s="1"/>
  <c r="BJ618" i="2"/>
  <c r="AQ619" i="2" l="1"/>
  <c r="AU619" i="2"/>
  <c r="AR619" i="2"/>
  <c r="BB619" i="2" l="1"/>
  <c r="BG619" i="2"/>
  <c r="AY619" i="2"/>
  <c r="BC619" i="2"/>
  <c r="BF619" i="2"/>
  <c r="AX619" i="2"/>
  <c r="BI619" i="2" l="1"/>
  <c r="AT620" i="2" s="1"/>
  <c r="BJ619" i="2"/>
  <c r="AQ620" i="2" l="1"/>
  <c r="AR620" i="2"/>
  <c r="AU620" i="2"/>
  <c r="BF620" i="2" l="1"/>
  <c r="AX620" i="2"/>
  <c r="BB620" i="2"/>
  <c r="BG620" i="2"/>
  <c r="BC620" i="2"/>
  <c r="AY620" i="2"/>
  <c r="BI620" i="2" l="1"/>
  <c r="BJ620" i="2"/>
  <c r="AT621" i="2"/>
  <c r="AQ621" i="2"/>
  <c r="AU621" i="2" l="1"/>
  <c r="AR621" i="2"/>
  <c r="BB621" i="2" l="1"/>
  <c r="AY621" i="2"/>
  <c r="BC621" i="2"/>
  <c r="BG621" i="2"/>
  <c r="AX621" i="2"/>
  <c r="BF621" i="2"/>
  <c r="BJ621" i="2" l="1"/>
  <c r="AU622" i="2" s="1"/>
  <c r="BI621" i="2"/>
  <c r="AQ622" i="2" s="1"/>
  <c r="AT622" i="2" l="1"/>
  <c r="AR622" i="2"/>
  <c r="BG622" i="2" s="1"/>
  <c r="BF622" i="2" l="1"/>
  <c r="AX622" i="2"/>
  <c r="BB622" i="2"/>
  <c r="AY622" i="2"/>
  <c r="BC622" i="2"/>
  <c r="BJ622" i="2" l="1"/>
  <c r="AR623" i="2" s="1"/>
  <c r="BI622" i="2"/>
  <c r="AQ623" i="2" s="1"/>
  <c r="AT623" i="2" l="1"/>
  <c r="AU623" i="2"/>
  <c r="AY623" i="2"/>
  <c r="BG623" i="2"/>
  <c r="BC623" i="2"/>
  <c r="AX623" i="2"/>
  <c r="BF623" i="2"/>
  <c r="BB623" i="2"/>
  <c r="BI623" i="2" l="1"/>
  <c r="AT624" i="2" s="1"/>
  <c r="BJ623" i="2"/>
  <c r="AQ624" i="2" l="1"/>
  <c r="AU624" i="2"/>
  <c r="AR624" i="2"/>
  <c r="AX624" i="2" l="1"/>
  <c r="BC624" i="2"/>
  <c r="BG624" i="2"/>
  <c r="AY624" i="2"/>
  <c r="BB624" i="2"/>
  <c r="BF624" i="2"/>
  <c r="BI624" i="2" l="1"/>
  <c r="AT625" i="2" s="1"/>
  <c r="BJ624" i="2"/>
  <c r="AQ625" i="2" l="1"/>
  <c r="AU625" i="2"/>
  <c r="AR625" i="2"/>
  <c r="AY625" i="2" l="1"/>
  <c r="BG625" i="2"/>
  <c r="BC625" i="2"/>
  <c r="AX625" i="2"/>
  <c r="BB625" i="2"/>
  <c r="BF625" i="2"/>
  <c r="BI625" i="2" l="1"/>
  <c r="BJ625" i="2"/>
  <c r="AR626" i="2" l="1"/>
  <c r="AU626" i="2"/>
  <c r="AQ626" i="2"/>
  <c r="AT626" i="2"/>
  <c r="AX626" i="2" l="1"/>
  <c r="BB626" i="2"/>
  <c r="BF626" i="2"/>
  <c r="BC626" i="2"/>
  <c r="AY626" i="2"/>
  <c r="BG626" i="2"/>
  <c r="BI626" i="2" l="1"/>
  <c r="AT627" i="2" s="1"/>
  <c r="BJ626" i="2"/>
  <c r="AQ627" i="2" l="1"/>
  <c r="AU627" i="2"/>
  <c r="AR627" i="2"/>
  <c r="BB627" i="2" l="1"/>
  <c r="BG627" i="2"/>
  <c r="BC627" i="2"/>
  <c r="AY627" i="2"/>
  <c r="BF627" i="2"/>
  <c r="AX627" i="2"/>
  <c r="BI627" i="2" l="1"/>
  <c r="BJ627" i="2"/>
  <c r="AR628" i="2" l="1"/>
  <c r="AU628" i="2"/>
  <c r="AQ628" i="2"/>
  <c r="AT628" i="2"/>
  <c r="AX628" i="2" l="1"/>
  <c r="BF628" i="2"/>
  <c r="BB628" i="2"/>
  <c r="BC628" i="2"/>
  <c r="AY628" i="2"/>
  <c r="BG628" i="2"/>
  <c r="BJ628" i="2" l="1"/>
  <c r="BI628" i="2"/>
  <c r="AT629" i="2" l="1"/>
  <c r="AQ629" i="2"/>
  <c r="AR629" i="2"/>
  <c r="AU629" i="2"/>
  <c r="BF629" i="2" l="1"/>
  <c r="AX629" i="2"/>
  <c r="BB629" i="2"/>
  <c r="AY629" i="2"/>
  <c r="BG629" i="2"/>
  <c r="BC629" i="2"/>
  <c r="BJ629" i="2" l="1"/>
  <c r="BI629" i="2"/>
  <c r="AT630" i="2" l="1"/>
  <c r="AQ630" i="2"/>
  <c r="AR630" i="2"/>
  <c r="AU630" i="2"/>
  <c r="AX630" i="2" l="1"/>
  <c r="BF630" i="2"/>
  <c r="BB630" i="2"/>
  <c r="BG630" i="2"/>
  <c r="AY630" i="2"/>
  <c r="BC630" i="2"/>
  <c r="BJ630" i="2" l="1"/>
  <c r="AU631" i="2" s="1"/>
  <c r="BI630" i="2"/>
  <c r="AR631" i="2"/>
  <c r="AT631" i="2" l="1"/>
  <c r="AQ631" i="2"/>
  <c r="AX631" i="2" l="1"/>
  <c r="BB631" i="2"/>
  <c r="BF631" i="2"/>
  <c r="BC631" i="2"/>
  <c r="AY631" i="2"/>
  <c r="BG631" i="2"/>
  <c r="BJ631" i="2" l="1"/>
  <c r="AU632" i="2" s="1"/>
  <c r="BI631" i="2"/>
  <c r="AQ632" i="2" s="1"/>
  <c r="AT632" i="2" l="1"/>
  <c r="AR632" i="2"/>
  <c r="AX632" i="2"/>
  <c r="AY632" i="2"/>
  <c r="BG632" i="2"/>
  <c r="BC632" i="2"/>
  <c r="BB632" i="2"/>
  <c r="BF632" i="2"/>
  <c r="BI632" i="2" l="1"/>
  <c r="AT633" i="2" s="1"/>
  <c r="BJ632" i="2"/>
  <c r="AQ633" i="2" l="1"/>
  <c r="AU633" i="2"/>
  <c r="AR633" i="2"/>
  <c r="AY633" i="2" l="1"/>
  <c r="BC633" i="2"/>
  <c r="BG633" i="2"/>
  <c r="AX633" i="2"/>
  <c r="BB633" i="2"/>
  <c r="BF633" i="2"/>
  <c r="BJ633" i="2" l="1"/>
  <c r="BI633" i="2"/>
  <c r="AR634" i="2" l="1"/>
  <c r="AU634" i="2"/>
  <c r="AT634" i="2"/>
  <c r="AQ634" i="2"/>
  <c r="BB634" i="2" l="1"/>
  <c r="AX634" i="2"/>
  <c r="BF634" i="2"/>
  <c r="BC634" i="2"/>
  <c r="BG634" i="2"/>
  <c r="AY634" i="2"/>
  <c r="BI634" i="2" l="1"/>
  <c r="BJ634" i="2"/>
  <c r="AQ635" i="2" l="1"/>
  <c r="AT635" i="2"/>
  <c r="AU635" i="2"/>
  <c r="AR635" i="2"/>
  <c r="AY635" i="2" l="1"/>
  <c r="BG635" i="2"/>
  <c r="BC635" i="2"/>
  <c r="BF635" i="2"/>
  <c r="BB635" i="2"/>
  <c r="AX635" i="2"/>
  <c r="BI635" i="2" l="1"/>
  <c r="BJ635" i="2"/>
  <c r="AR636" i="2" l="1"/>
  <c r="AU636" i="2"/>
  <c r="AT636" i="2"/>
  <c r="AQ636" i="2"/>
  <c r="BF636" i="2" l="1"/>
  <c r="BB636" i="2"/>
  <c r="AX636" i="2"/>
  <c r="BC636" i="2"/>
  <c r="AY636" i="2"/>
  <c r="BG636" i="2"/>
  <c r="BJ636" i="2" l="1"/>
  <c r="BI636" i="2"/>
  <c r="AQ637" i="2" l="1"/>
  <c r="AT637" i="2"/>
  <c r="AU637" i="2"/>
  <c r="AR637" i="2"/>
  <c r="BC637" i="2" l="1"/>
  <c r="AY637" i="2"/>
  <c r="BG637" i="2"/>
  <c r="BB637" i="2"/>
  <c r="AX637" i="2"/>
  <c r="BF637" i="2"/>
  <c r="BI637" i="2" l="1"/>
  <c r="AQ638" i="2" s="1"/>
  <c r="BJ637" i="2"/>
  <c r="AU638" i="2" s="1"/>
  <c r="AR638" i="2" l="1"/>
  <c r="AT638" i="2"/>
  <c r="AY638" i="2" l="1"/>
  <c r="AX638" i="2"/>
  <c r="BF638" i="2"/>
  <c r="BC638" i="2"/>
  <c r="BB638" i="2"/>
  <c r="BG638" i="2"/>
  <c r="BJ638" i="2" l="1"/>
  <c r="AR639" i="2" s="1"/>
  <c r="BI638" i="2"/>
  <c r="AQ639" i="2" s="1"/>
  <c r="AU639" i="2" l="1"/>
  <c r="AT639" i="2"/>
  <c r="AY639" i="2"/>
  <c r="BG639" i="2"/>
  <c r="BC639" i="2"/>
  <c r="BF639" i="2"/>
  <c r="AX639" i="2"/>
  <c r="BB639" i="2"/>
  <c r="BI639" i="2" l="1"/>
  <c r="BJ639" i="2"/>
  <c r="AR640" i="2" l="1"/>
  <c r="AU640" i="2"/>
  <c r="AT640" i="2"/>
  <c r="AQ640" i="2"/>
  <c r="BB640" i="2" l="1"/>
  <c r="AX640" i="2"/>
  <c r="BF640" i="2"/>
  <c r="BG640" i="2"/>
  <c r="BC640" i="2"/>
  <c r="AY640" i="2"/>
  <c r="BI640" i="2" l="1"/>
  <c r="AT641" i="2" s="1"/>
  <c r="BJ640" i="2"/>
  <c r="AQ641" i="2" l="1"/>
  <c r="AU641" i="2"/>
  <c r="AR641" i="2"/>
  <c r="AX641" i="2" l="1"/>
  <c r="BG641" i="2"/>
  <c r="BC641" i="2"/>
  <c r="AY641" i="2"/>
  <c r="BF641" i="2"/>
  <c r="BB641" i="2"/>
  <c r="BI641" i="2" l="1"/>
  <c r="BJ641" i="2"/>
  <c r="AU642" i="2" l="1"/>
  <c r="AR642" i="2"/>
  <c r="AT642" i="2"/>
  <c r="AQ642" i="2"/>
  <c r="AY642" i="2" l="1"/>
  <c r="BC642" i="2"/>
  <c r="BG642" i="2"/>
  <c r="BF642" i="2"/>
  <c r="AX642" i="2"/>
  <c r="BB642" i="2"/>
  <c r="BJ642" i="2" l="1"/>
  <c r="BI642" i="2"/>
  <c r="AU643" i="2" l="1"/>
  <c r="AR643" i="2"/>
  <c r="AT643" i="2"/>
  <c r="AQ643" i="2"/>
  <c r="BF643" i="2" l="1"/>
  <c r="AX643" i="2"/>
  <c r="BB643" i="2"/>
  <c r="BG643" i="2"/>
  <c r="AY643" i="2"/>
  <c r="BC643" i="2"/>
  <c r="BJ643" i="2" l="1"/>
  <c r="AU644" i="2" s="1"/>
  <c r="BI643" i="2"/>
  <c r="AR644" i="2" l="1"/>
  <c r="AQ644" i="2"/>
  <c r="AT644" i="2"/>
  <c r="BF644" i="2" l="1"/>
  <c r="AX644" i="2"/>
  <c r="BB644" i="2"/>
  <c r="BC644" i="2"/>
  <c r="AY644" i="2"/>
  <c r="BG644" i="2"/>
  <c r="BJ644" i="2" l="1"/>
  <c r="BI644" i="2"/>
  <c r="AQ645" i="2" l="1"/>
  <c r="AT645" i="2"/>
  <c r="AR645" i="2"/>
  <c r="AU645" i="2"/>
  <c r="AY645" i="2" l="1"/>
  <c r="BG645" i="2"/>
  <c r="BC645" i="2"/>
  <c r="BF645" i="2"/>
  <c r="BB645" i="2"/>
  <c r="AX645" i="2"/>
  <c r="BJ645" i="2" l="1"/>
  <c r="AU646" i="2" s="1"/>
  <c r="BI645" i="2"/>
  <c r="AT646" i="2" s="1"/>
  <c r="AQ646" i="2"/>
  <c r="AR646" i="2" l="1"/>
  <c r="AX646" i="2"/>
  <c r="BF646" i="2"/>
  <c r="BB646" i="2"/>
  <c r="AY646" i="2"/>
  <c r="BG646" i="2"/>
  <c r="BC646" i="2"/>
  <c r="BJ646" i="2" l="1"/>
  <c r="AU647" i="2" s="1"/>
  <c r="BI646" i="2"/>
  <c r="AR647" i="2" l="1"/>
  <c r="AT647" i="2"/>
  <c r="AQ647" i="2"/>
  <c r="BC647" i="2" l="1"/>
  <c r="AY647" i="2"/>
  <c r="BG647" i="2"/>
  <c r="BB647" i="2"/>
  <c r="AX647" i="2"/>
  <c r="BF647" i="2"/>
  <c r="BJ647" i="2" l="1"/>
  <c r="BI647" i="2"/>
  <c r="AT648" i="2" s="1"/>
  <c r="AQ648" i="2"/>
  <c r="AU648" i="2"/>
  <c r="AR648" i="2"/>
  <c r="BC648" i="2" l="1"/>
  <c r="AY648" i="2"/>
  <c r="BG648" i="2"/>
  <c r="BF648" i="2"/>
  <c r="AX648" i="2"/>
  <c r="BB648" i="2"/>
  <c r="BJ648" i="2" l="1"/>
  <c r="AU649" i="2" s="1"/>
  <c r="BI648" i="2"/>
  <c r="AR649" i="2" l="1"/>
  <c r="AT649" i="2"/>
  <c r="AQ649" i="2"/>
  <c r="BG649" i="2" l="1"/>
  <c r="BB649" i="2"/>
  <c r="AX649" i="2"/>
  <c r="BF649" i="2"/>
  <c r="AY649" i="2"/>
  <c r="BC649" i="2"/>
  <c r="BJ649" i="2" l="1"/>
  <c r="AU650" i="2" s="1"/>
  <c r="BI649" i="2"/>
  <c r="AR650" i="2" l="1"/>
  <c r="AT650" i="2"/>
  <c r="AQ650" i="2"/>
  <c r="AY650" i="2" l="1"/>
  <c r="AX650" i="2"/>
  <c r="BF650" i="2"/>
  <c r="BB650" i="2"/>
  <c r="BC650" i="2"/>
  <c r="BG650" i="2"/>
  <c r="BJ650" i="2" l="1"/>
  <c r="BI650" i="2"/>
  <c r="AT651" i="2" l="1"/>
  <c r="AQ651" i="2"/>
  <c r="AR651" i="2"/>
  <c r="AU651" i="2"/>
  <c r="BB651" i="2" l="1"/>
  <c r="BF651" i="2"/>
  <c r="AX651" i="2"/>
  <c r="BG651" i="2"/>
  <c r="AY651" i="2"/>
  <c r="BC651" i="2"/>
  <c r="BJ651" i="2" l="1"/>
  <c r="AR652" i="2" s="1"/>
  <c r="AU652" i="2"/>
  <c r="BI651" i="2"/>
  <c r="AT652" i="2" l="1"/>
  <c r="AQ652" i="2"/>
  <c r="BB652" i="2" l="1"/>
  <c r="BF652" i="2"/>
  <c r="AX652" i="2"/>
  <c r="BG652" i="2"/>
  <c r="AY652" i="2"/>
  <c r="BC652" i="2"/>
  <c r="BJ652" i="2" l="1"/>
  <c r="BI652" i="2"/>
  <c r="AQ653" i="2" l="1"/>
  <c r="AT653" i="2"/>
  <c r="AU653" i="2"/>
  <c r="AR653" i="2"/>
  <c r="BG653" i="2" l="1"/>
  <c r="AY653" i="2"/>
  <c r="BC653" i="2"/>
  <c r="BF653" i="2"/>
  <c r="AX653" i="2"/>
  <c r="BB653" i="2"/>
  <c r="BI653" i="2" l="1"/>
  <c r="BJ653" i="2"/>
  <c r="AR654" i="2" l="1"/>
  <c r="AU654" i="2"/>
  <c r="AT654" i="2"/>
  <c r="AQ654" i="2"/>
  <c r="AX654" i="2" l="1"/>
  <c r="BB654" i="2"/>
  <c r="BF654" i="2"/>
  <c r="AY654" i="2"/>
  <c r="BC654" i="2"/>
  <c r="BG654" i="2"/>
  <c r="BI654" i="2" l="1"/>
  <c r="AT655" i="2" s="1"/>
  <c r="BJ654" i="2"/>
  <c r="AQ655" i="2" l="1"/>
  <c r="AU655" i="2"/>
  <c r="AR655" i="2"/>
  <c r="BG655" i="2" l="1"/>
  <c r="AY655" i="2"/>
  <c r="BC655" i="2"/>
  <c r="BB655" i="2"/>
  <c r="BF655" i="2"/>
  <c r="AX655" i="2"/>
  <c r="BI655" i="2" l="1"/>
  <c r="BJ655" i="2"/>
  <c r="AR656" i="2" l="1"/>
  <c r="AU656" i="2"/>
  <c r="AT656" i="2"/>
  <c r="AQ656" i="2"/>
  <c r="AX656" i="2" l="1"/>
  <c r="BB656" i="2"/>
  <c r="BF656" i="2"/>
  <c r="AY656" i="2"/>
  <c r="BC656" i="2"/>
  <c r="BG656" i="2"/>
  <c r="BI656" i="2" l="1"/>
  <c r="AQ657" i="2" s="1"/>
  <c r="AT657" i="2"/>
  <c r="BJ656" i="2"/>
  <c r="AU657" i="2" l="1"/>
  <c r="AR657" i="2"/>
  <c r="BG657" i="2" l="1"/>
  <c r="AY657" i="2"/>
  <c r="BC657" i="2"/>
  <c r="AX657" i="2"/>
  <c r="BB657" i="2"/>
  <c r="BF657" i="2"/>
  <c r="BI657" i="2" l="1"/>
  <c r="BJ657" i="2"/>
  <c r="AU658" i="2" l="1"/>
  <c r="AR658" i="2"/>
  <c r="AT658" i="2"/>
  <c r="AQ658" i="2"/>
  <c r="AY658" i="2" l="1"/>
  <c r="BG658" i="2"/>
  <c r="BC658" i="2"/>
  <c r="AX658" i="2"/>
  <c r="BB658" i="2"/>
  <c r="BF658" i="2"/>
  <c r="BI658" i="2" l="1"/>
  <c r="AT659" i="2" s="1"/>
  <c r="BJ658" i="2"/>
  <c r="AQ659" i="2" l="1"/>
  <c r="AU659" i="2"/>
  <c r="AR659" i="2"/>
  <c r="AX659" i="2" l="1"/>
  <c r="BF659" i="2"/>
  <c r="BB659" i="2"/>
  <c r="BC659" i="2"/>
  <c r="AY659" i="2"/>
  <c r="BG659" i="2"/>
  <c r="BI659" i="2" l="1"/>
  <c r="AT660" i="2" s="1"/>
  <c r="BJ659" i="2"/>
  <c r="AQ660" i="2"/>
  <c r="AR660" i="2" l="1"/>
  <c r="AU660" i="2"/>
  <c r="BG660" i="2" l="1"/>
  <c r="BC660" i="2"/>
  <c r="AY660" i="2"/>
  <c r="AX660" i="2"/>
  <c r="BF660" i="2"/>
  <c r="BB660" i="2"/>
  <c r="BI660" i="2" l="1"/>
  <c r="BJ660" i="2"/>
  <c r="AU661" i="2" l="1"/>
  <c r="AR661" i="2"/>
  <c r="AT661" i="2"/>
  <c r="AQ661" i="2"/>
  <c r="AY661" i="2" l="1"/>
  <c r="BG661" i="2"/>
  <c r="BC661" i="2"/>
  <c r="AX661" i="2"/>
  <c r="BB661" i="2"/>
  <c r="BF661" i="2"/>
  <c r="BI661" i="2" l="1"/>
  <c r="BJ661" i="2"/>
  <c r="AU662" i="2" l="1"/>
  <c r="AR662" i="2"/>
  <c r="AT662" i="2"/>
  <c r="AQ662" i="2"/>
  <c r="BG662" i="2" l="1"/>
  <c r="AY662" i="2"/>
  <c r="BC662" i="2"/>
  <c r="BF662" i="2"/>
  <c r="BB662" i="2"/>
  <c r="AX662" i="2"/>
  <c r="BI662" i="2" l="1"/>
  <c r="AT663" i="2" s="1"/>
  <c r="BJ662" i="2"/>
  <c r="AQ663" i="2" l="1"/>
  <c r="AU663" i="2"/>
  <c r="AR663" i="2"/>
  <c r="BF663" i="2" l="1"/>
  <c r="BB663" i="2"/>
  <c r="AY663" i="2"/>
  <c r="BC663" i="2"/>
  <c r="BG663" i="2"/>
  <c r="AX663" i="2"/>
  <c r="BI663" i="2" l="1"/>
  <c r="AQ664" i="2" s="1"/>
  <c r="BJ663" i="2"/>
  <c r="AT664" i="2" l="1"/>
  <c r="AR664" i="2"/>
  <c r="AU664" i="2"/>
  <c r="AX664" i="2" l="1"/>
  <c r="BB664" i="2"/>
  <c r="BF664" i="2"/>
  <c r="AY664" i="2"/>
  <c r="BG664" i="2"/>
  <c r="BC664" i="2"/>
  <c r="BI664" i="2" l="1"/>
  <c r="AQ665" i="2" s="1"/>
  <c r="BJ664" i="2"/>
  <c r="AU665" i="2" s="1"/>
  <c r="AR665" i="2" l="1"/>
  <c r="AT665" i="2"/>
  <c r="BF665" i="2"/>
  <c r="AX665" i="2"/>
  <c r="BB665" i="2"/>
  <c r="BC665" i="2"/>
  <c r="BG665" i="2"/>
  <c r="AY665" i="2"/>
  <c r="BJ665" i="2" l="1"/>
  <c r="BI665" i="2"/>
  <c r="AQ666" i="2" l="1"/>
  <c r="AT666" i="2"/>
  <c r="AR666" i="2"/>
  <c r="AU666" i="2"/>
  <c r="BG666" i="2" l="1"/>
  <c r="AY666" i="2"/>
  <c r="BC666" i="2"/>
  <c r="AX666" i="2"/>
  <c r="BB666" i="2"/>
  <c r="BF666" i="2"/>
  <c r="BJ666" i="2" l="1"/>
  <c r="BI666" i="2"/>
  <c r="AT667" i="2" l="1"/>
  <c r="AQ667" i="2"/>
  <c r="AU667" i="2"/>
  <c r="AR667" i="2"/>
  <c r="BF667" i="2" l="1"/>
  <c r="BB667" i="2"/>
  <c r="AX667" i="2"/>
  <c r="AY667" i="2"/>
  <c r="BG667" i="2"/>
  <c r="BC667" i="2"/>
  <c r="BJ667" i="2" l="1"/>
  <c r="AR668" i="2" s="1"/>
  <c r="AU668" i="2"/>
  <c r="BI667" i="2"/>
  <c r="AT668" i="2" l="1"/>
  <c r="AQ668" i="2"/>
  <c r="BF668" i="2" l="1"/>
  <c r="BB668" i="2"/>
  <c r="AX668" i="2"/>
  <c r="BG668" i="2"/>
  <c r="BC668" i="2"/>
  <c r="AY668" i="2"/>
  <c r="BJ668" i="2" l="1"/>
  <c r="BI668" i="2"/>
  <c r="AT669" i="2" l="1"/>
  <c r="AQ669" i="2"/>
  <c r="AU669" i="2"/>
  <c r="AR669" i="2"/>
  <c r="BF669" i="2" l="1"/>
  <c r="BB669" i="2"/>
  <c r="AX669" i="2"/>
  <c r="AY669" i="2"/>
  <c r="BC669" i="2"/>
  <c r="BG669" i="2"/>
  <c r="BJ669" i="2" l="1"/>
  <c r="BI669" i="2"/>
  <c r="AT670" i="2" l="1"/>
  <c r="AQ670" i="2"/>
  <c r="AU670" i="2"/>
  <c r="AR670" i="2"/>
  <c r="AY670" i="2" l="1"/>
  <c r="BG670" i="2"/>
  <c r="BC670" i="2"/>
  <c r="BF670" i="2"/>
  <c r="AX670" i="2"/>
  <c r="BB670" i="2"/>
  <c r="BI670" i="2" l="1"/>
  <c r="AT671" i="2" s="1"/>
  <c r="BJ670" i="2"/>
  <c r="AU671" i="2" s="1"/>
  <c r="AQ671" i="2" l="1"/>
  <c r="AR671" i="2"/>
  <c r="BF671" i="2" l="1"/>
  <c r="AY671" i="2"/>
  <c r="AX671" i="2"/>
  <c r="BG671" i="2"/>
  <c r="BC671" i="2"/>
  <c r="BB671" i="2"/>
  <c r="BI671" i="2" l="1"/>
  <c r="BJ671" i="2"/>
  <c r="AU672" i="2" s="1"/>
  <c r="AQ672" i="2"/>
  <c r="AT672" i="2"/>
  <c r="AR672" i="2"/>
  <c r="BC672" i="2" l="1"/>
  <c r="BG672" i="2"/>
  <c r="AY672" i="2"/>
  <c r="AX672" i="2"/>
  <c r="BB672" i="2"/>
  <c r="BF672" i="2"/>
  <c r="BJ672" i="2" l="1"/>
  <c r="BI672" i="2"/>
  <c r="AT673" i="2" l="1"/>
  <c r="AQ673" i="2"/>
  <c r="AR673" i="2"/>
  <c r="AU673" i="2"/>
  <c r="BF673" i="2" l="1"/>
  <c r="AX673" i="2"/>
  <c r="BB673" i="2"/>
  <c r="AY673" i="2"/>
  <c r="BC673" i="2"/>
  <c r="BG673" i="2"/>
  <c r="BJ673" i="2" l="1"/>
  <c r="BI673" i="2"/>
  <c r="AT674" i="2" l="1"/>
  <c r="AQ674" i="2"/>
  <c r="AR674" i="2"/>
  <c r="AU674" i="2"/>
  <c r="BC674" i="2" l="1"/>
  <c r="BB674" i="2"/>
  <c r="AX674" i="2"/>
  <c r="BF674" i="2"/>
  <c r="BG674" i="2"/>
  <c r="AY674" i="2"/>
  <c r="BI674" i="2" l="1"/>
  <c r="AT675" i="2" s="1"/>
  <c r="BJ674" i="2"/>
  <c r="AR675" i="2" s="1"/>
  <c r="AQ675" i="2" l="1"/>
  <c r="AU675" i="2"/>
  <c r="BC675" i="2"/>
  <c r="AX675" i="2"/>
  <c r="BB675" i="2"/>
  <c r="BF675" i="2"/>
  <c r="BG675" i="2"/>
  <c r="AY675" i="2"/>
  <c r="BI675" i="2" l="1"/>
  <c r="AT676" i="2" s="1"/>
  <c r="BJ675" i="2"/>
  <c r="AR676" i="2" s="1"/>
  <c r="AU676" i="2" l="1"/>
  <c r="AQ676" i="2"/>
  <c r="BF676" i="2" l="1"/>
  <c r="BC676" i="2"/>
  <c r="AY676" i="2"/>
  <c r="BG676" i="2"/>
  <c r="AX676" i="2"/>
  <c r="BB676" i="2"/>
  <c r="BJ676" i="2" l="1"/>
  <c r="AU677" i="2" s="1"/>
  <c r="BI676" i="2"/>
  <c r="AT677" i="2" s="1"/>
  <c r="AQ677" i="2"/>
  <c r="AR677" i="2" l="1"/>
  <c r="BC677" i="2"/>
  <c r="BG677" i="2"/>
  <c r="BB677" i="2"/>
  <c r="AX677" i="2"/>
  <c r="BF677" i="2"/>
  <c r="AY677" i="2"/>
  <c r="BJ677" i="2" s="1"/>
  <c r="BI677" i="2" l="1"/>
  <c r="AU678" i="2"/>
  <c r="AR678" i="2"/>
  <c r="AQ678" i="2" l="1"/>
  <c r="AT678" i="2"/>
  <c r="BG678" i="2" l="1"/>
  <c r="BC678" i="2"/>
  <c r="AY678" i="2"/>
  <c r="BB678" i="2"/>
  <c r="AX678" i="2"/>
  <c r="BF678" i="2"/>
  <c r="BJ678" i="2" l="1"/>
  <c r="BI678" i="2"/>
  <c r="AR679" i="2"/>
  <c r="AU679" i="2"/>
  <c r="AQ679" i="2" l="1"/>
  <c r="AT679" i="2"/>
  <c r="BB679" i="2" l="1"/>
  <c r="BC679" i="2"/>
  <c r="AX679" i="2"/>
  <c r="BF679" i="2"/>
  <c r="AY679" i="2"/>
  <c r="BG679" i="2"/>
  <c r="BJ679" i="2" l="1"/>
  <c r="AR680" i="2" s="1"/>
  <c r="BI679" i="2"/>
  <c r="AT680" i="2" s="1"/>
  <c r="AQ680" i="2" l="1"/>
  <c r="AU680" i="2"/>
  <c r="BF680" i="2"/>
  <c r="AY680" i="2"/>
  <c r="BC680" i="2"/>
  <c r="BG680" i="2"/>
  <c r="AX680" i="2"/>
  <c r="BB680" i="2"/>
  <c r="BI680" i="2" l="1"/>
  <c r="AQ681" i="2" s="1"/>
  <c r="BJ680" i="2"/>
  <c r="AU681" i="2" s="1"/>
  <c r="AR681" i="2" l="1"/>
  <c r="BG681" i="2" s="1"/>
  <c r="AT681" i="2"/>
  <c r="BB681" i="2" l="1"/>
  <c r="BC681" i="2"/>
  <c r="BF681" i="2"/>
  <c r="AX681" i="2"/>
  <c r="AY681" i="2"/>
  <c r="BJ681" i="2" s="1"/>
  <c r="BI681" i="2" l="1"/>
  <c r="AQ682" i="2" s="1"/>
  <c r="AU682" i="2"/>
  <c r="AR682" i="2"/>
  <c r="AT682" i="2" l="1"/>
  <c r="BG682" i="2"/>
  <c r="BC682" i="2"/>
  <c r="AY682" i="2"/>
  <c r="AX682" i="2"/>
  <c r="BB682" i="2"/>
  <c r="BF682" i="2"/>
  <c r="BI682" i="2" l="1"/>
  <c r="BJ682" i="2"/>
  <c r="AU683" i="2" l="1"/>
  <c r="AR683" i="2"/>
  <c r="AT683" i="2"/>
  <c r="AQ683" i="2"/>
  <c r="BG683" i="2" l="1"/>
  <c r="AY683" i="2"/>
  <c r="BC683" i="2"/>
  <c r="AX683" i="2"/>
  <c r="BB683" i="2"/>
  <c r="BF683" i="2"/>
  <c r="BI683" i="2" l="1"/>
  <c r="BJ683" i="2"/>
  <c r="AU684" i="2" l="1"/>
  <c r="AR684" i="2"/>
  <c r="AQ684" i="2"/>
  <c r="AT684" i="2"/>
  <c r="AY684" i="2" l="1"/>
  <c r="BC684" i="2"/>
  <c r="BG684" i="2"/>
  <c r="BF684" i="2"/>
  <c r="BB684" i="2"/>
  <c r="AX684" i="2"/>
  <c r="BJ684" i="2" l="1"/>
  <c r="AU685" i="2" s="1"/>
  <c r="BI684" i="2"/>
  <c r="AR685" i="2"/>
  <c r="AT685" i="2" l="1"/>
  <c r="AQ685" i="2"/>
  <c r="BF685" i="2" l="1"/>
  <c r="AX685" i="2"/>
  <c r="BB685" i="2"/>
  <c r="BG685" i="2"/>
  <c r="BC685" i="2"/>
  <c r="AY685" i="2"/>
  <c r="BJ685" i="2" l="1"/>
  <c r="BI685" i="2"/>
  <c r="AT686" i="2" l="1"/>
  <c r="AQ686" i="2"/>
  <c r="AU686" i="2"/>
  <c r="AR686" i="2"/>
  <c r="BB686" i="2" l="1"/>
  <c r="BF686" i="2"/>
  <c r="AX686" i="2"/>
  <c r="AY686" i="2"/>
  <c r="BC686" i="2"/>
  <c r="BG686" i="2"/>
  <c r="BJ686" i="2" l="1"/>
  <c r="BI686" i="2"/>
  <c r="AQ687" i="2" l="1"/>
  <c r="AT687" i="2"/>
  <c r="AU687" i="2"/>
  <c r="AR687" i="2"/>
  <c r="BG687" i="2" l="1"/>
  <c r="BC687" i="2"/>
  <c r="AY687" i="2"/>
  <c r="BB687" i="2"/>
  <c r="BF687" i="2"/>
  <c r="AX687" i="2"/>
  <c r="BI687" i="2" l="1"/>
  <c r="AQ688" i="2" s="1"/>
  <c r="BJ687" i="2"/>
  <c r="AT688" i="2" l="1"/>
  <c r="AR688" i="2"/>
  <c r="AU688" i="2"/>
  <c r="AY688" i="2" l="1"/>
  <c r="BC688" i="2"/>
  <c r="BG688" i="2"/>
  <c r="BF688" i="2"/>
  <c r="AX688" i="2"/>
  <c r="BB688" i="2"/>
  <c r="BJ688" i="2" l="1"/>
  <c r="AU689" i="2" s="1"/>
  <c r="BI688" i="2"/>
  <c r="AR689" i="2" l="1"/>
  <c r="AT689" i="2"/>
  <c r="AQ689" i="2"/>
  <c r="BF689" i="2" l="1"/>
  <c r="BB689" i="2"/>
  <c r="AX689" i="2"/>
  <c r="BG689" i="2"/>
  <c r="AY689" i="2"/>
  <c r="BC689" i="2"/>
  <c r="BJ689" i="2" l="1"/>
  <c r="BI689" i="2"/>
  <c r="AT690" i="2" l="1"/>
  <c r="AQ690" i="2"/>
  <c r="AU690" i="2"/>
  <c r="AR690" i="2"/>
  <c r="BF690" i="2" l="1"/>
  <c r="AX690" i="2"/>
  <c r="BB690" i="2"/>
  <c r="BG690" i="2"/>
  <c r="AY690" i="2"/>
  <c r="BC690" i="2"/>
  <c r="BJ690" i="2" l="1"/>
  <c r="AU691" i="2" s="1"/>
  <c r="AR691" i="2"/>
  <c r="BI690" i="2"/>
  <c r="AT691" i="2" l="1"/>
  <c r="AQ691" i="2"/>
  <c r="AY691" i="2" l="1"/>
  <c r="AX691" i="2"/>
  <c r="BB691" i="2"/>
  <c r="BF691" i="2"/>
  <c r="BC691" i="2"/>
  <c r="BG691" i="2"/>
  <c r="BI691" i="2" l="1"/>
  <c r="BJ691" i="2"/>
  <c r="AT692" i="2" l="1"/>
  <c r="AQ692" i="2"/>
  <c r="AU692" i="2"/>
  <c r="AR692" i="2"/>
  <c r="AY692" i="2" l="1"/>
  <c r="BC692" i="2"/>
  <c r="BG692" i="2"/>
  <c r="AX692" i="2"/>
  <c r="BF692" i="2"/>
  <c r="BB692" i="2"/>
  <c r="BI692" i="2" l="1"/>
  <c r="BJ692" i="2"/>
  <c r="AT693" i="2"/>
  <c r="AQ693" i="2"/>
  <c r="AU693" i="2" l="1"/>
  <c r="AR693" i="2"/>
  <c r="AY693" i="2" l="1"/>
  <c r="BC693" i="2"/>
  <c r="BG693" i="2"/>
  <c r="BF693" i="2"/>
  <c r="AX693" i="2"/>
  <c r="BB693" i="2"/>
  <c r="BJ693" i="2" l="1"/>
  <c r="AR694" i="2" s="1"/>
  <c r="BI693" i="2"/>
  <c r="AQ694" i="2" s="1"/>
  <c r="AU694" i="2" l="1"/>
  <c r="AT694" i="2"/>
  <c r="BF694" i="2"/>
  <c r="BC694" i="2"/>
  <c r="AY694" i="2"/>
  <c r="BG694" i="2"/>
  <c r="AX694" i="2"/>
  <c r="BB694" i="2"/>
  <c r="BJ694" i="2" l="1"/>
  <c r="AR695" i="2" s="1"/>
  <c r="BI694" i="2"/>
  <c r="AU695" i="2" l="1"/>
  <c r="AQ695" i="2"/>
  <c r="AT695" i="2"/>
  <c r="AX695" i="2" l="1"/>
  <c r="BF695" i="2"/>
  <c r="BB695" i="2"/>
  <c r="BC695" i="2"/>
  <c r="AY695" i="2"/>
  <c r="BG695" i="2"/>
  <c r="BJ695" i="2" l="1"/>
  <c r="BI695" i="2"/>
  <c r="AT696" i="2" l="1"/>
  <c r="AQ696" i="2"/>
  <c r="AR696" i="2"/>
  <c r="AU696" i="2"/>
  <c r="BB696" i="2" l="1"/>
  <c r="BF696" i="2"/>
  <c r="AX696" i="2"/>
  <c r="BC696" i="2"/>
  <c r="AY696" i="2"/>
  <c r="BG696" i="2"/>
  <c r="BI696" i="2" l="1"/>
  <c r="BJ696" i="2"/>
  <c r="AR697" i="2" l="1"/>
  <c r="AU697" i="2"/>
  <c r="AT697" i="2"/>
  <c r="AQ697" i="2"/>
  <c r="BB697" i="2" l="1"/>
  <c r="AX697" i="2"/>
  <c r="BF697" i="2"/>
  <c r="BG697" i="2"/>
  <c r="AY697" i="2"/>
  <c r="BC697" i="2"/>
  <c r="BI697" i="2" l="1"/>
  <c r="BJ697" i="2"/>
  <c r="AU698" i="2" s="1"/>
  <c r="AR698" i="2" l="1"/>
  <c r="AT698" i="2"/>
  <c r="AQ698" i="2"/>
  <c r="BC698" i="2" l="1"/>
  <c r="BG698" i="2"/>
  <c r="AY698" i="2"/>
  <c r="AX698" i="2"/>
  <c r="BB698" i="2"/>
  <c r="BF698" i="2"/>
  <c r="BJ698" i="2" l="1"/>
  <c r="AU699" i="2"/>
  <c r="AR699" i="2"/>
  <c r="BI698" i="2"/>
  <c r="AT699" i="2" s="1"/>
  <c r="AQ699" i="2" l="1"/>
  <c r="BC699" i="2" l="1"/>
  <c r="BB699" i="2"/>
  <c r="BF699" i="2"/>
  <c r="AX699" i="2"/>
  <c r="BG699" i="2"/>
  <c r="AY699" i="2"/>
  <c r="BI699" i="2" l="1"/>
  <c r="AQ700" i="2" s="1"/>
  <c r="BJ699" i="2"/>
  <c r="AU700" i="2" s="1"/>
  <c r="AR700" i="2" l="1"/>
  <c r="BF700" i="2" s="1"/>
  <c r="AT700" i="2"/>
  <c r="BG700" i="2" l="1"/>
  <c r="BC700" i="2"/>
  <c r="AY700" i="2"/>
  <c r="BB700" i="2"/>
  <c r="AX700" i="2"/>
  <c r="BI700" i="2" l="1"/>
  <c r="BJ700" i="2"/>
  <c r="AT701" i="2"/>
  <c r="AQ701" i="2"/>
  <c r="AR701" i="2"/>
  <c r="AU701" i="2"/>
  <c r="BC701" i="2" l="1"/>
  <c r="BG701" i="2"/>
  <c r="AY701" i="2"/>
  <c r="AX701" i="2"/>
  <c r="BB701" i="2"/>
  <c r="BF701" i="2"/>
  <c r="BI701" i="2" l="1"/>
  <c r="AT702" i="2" s="1"/>
  <c r="BJ701" i="2"/>
  <c r="AQ702" i="2" l="1"/>
  <c r="AR702" i="2"/>
  <c r="AU702" i="2"/>
  <c r="BF702" i="2" l="1"/>
  <c r="BB702" i="2"/>
  <c r="AX702" i="2"/>
  <c r="BC702" i="2"/>
  <c r="AY702" i="2"/>
  <c r="BG702" i="2"/>
  <c r="BI702" i="2" l="1"/>
  <c r="AT703" i="2" s="1"/>
  <c r="BJ702" i="2"/>
  <c r="AR703" i="2" s="1"/>
  <c r="AQ703" i="2" l="1"/>
  <c r="BB703" i="2" s="1"/>
  <c r="AU703" i="2"/>
  <c r="BC703" i="2" l="1"/>
  <c r="AY703" i="2"/>
  <c r="BG703" i="2"/>
  <c r="AX703" i="2"/>
  <c r="BF703" i="2"/>
  <c r="BI703" i="2" s="1"/>
  <c r="BJ703" i="2"/>
  <c r="AU704" i="2" l="1"/>
  <c r="AR704" i="2"/>
  <c r="AT704" i="2"/>
  <c r="AQ704" i="2"/>
  <c r="BB704" i="2" l="1"/>
  <c r="AX704" i="2"/>
  <c r="BF704" i="2"/>
  <c r="BG704" i="2"/>
  <c r="BC704" i="2"/>
  <c r="AY704" i="2"/>
  <c r="BI704" i="2" l="1"/>
  <c r="AT705" i="2" s="1"/>
  <c r="BJ704" i="2"/>
  <c r="AQ705" i="2" l="1"/>
  <c r="AU705" i="2"/>
  <c r="AR705" i="2"/>
  <c r="BB705" i="2" l="1"/>
  <c r="AX705" i="2"/>
  <c r="BF705" i="2"/>
  <c r="BC705" i="2"/>
  <c r="AY705" i="2"/>
  <c r="BG705" i="2"/>
  <c r="BJ705" i="2" l="1"/>
  <c r="AU706" i="2" s="1"/>
  <c r="BI705" i="2"/>
  <c r="AR706" i="2" l="1"/>
  <c r="AT706" i="2"/>
  <c r="AQ706" i="2"/>
  <c r="AX706" i="2" l="1"/>
  <c r="BF706" i="2"/>
  <c r="BC706" i="2"/>
  <c r="BB706" i="2"/>
  <c r="AY706" i="2"/>
  <c r="BG706" i="2"/>
  <c r="BJ706" i="2" l="1"/>
  <c r="AU707" i="2" s="1"/>
  <c r="BI706" i="2"/>
  <c r="AR707" i="2" l="1"/>
  <c r="AT707" i="2"/>
  <c r="AQ707" i="2"/>
  <c r="AY707" i="2" l="1"/>
  <c r="BG707" i="2"/>
  <c r="BC707" i="2"/>
  <c r="AX707" i="2"/>
  <c r="BF707" i="2"/>
  <c r="BB707" i="2"/>
  <c r="BJ707" i="2" l="1"/>
  <c r="AU708" i="2" s="1"/>
  <c r="BI707" i="2"/>
  <c r="AR708" i="2" l="1"/>
  <c r="AT708" i="2"/>
  <c r="AQ708" i="2"/>
  <c r="BF708" i="2" l="1"/>
  <c r="AX708" i="2"/>
  <c r="BG708" i="2"/>
  <c r="BC708" i="2"/>
  <c r="BB708" i="2"/>
  <c r="AY708" i="2"/>
  <c r="BJ708" i="2" l="1"/>
  <c r="BI708" i="2"/>
  <c r="AQ709" i="2" l="1"/>
  <c r="AT709" i="2"/>
  <c r="AR709" i="2"/>
  <c r="AU709" i="2"/>
  <c r="BC709" i="2" l="1"/>
  <c r="AY709" i="2"/>
  <c r="BG709" i="2"/>
  <c r="BF709" i="2"/>
  <c r="AX709" i="2"/>
  <c r="BB709" i="2"/>
  <c r="BJ709" i="2" l="1"/>
  <c r="AR710" i="2" s="1"/>
  <c r="BI709" i="2"/>
  <c r="AU710" i="2" l="1"/>
  <c r="AQ710" i="2"/>
  <c r="AT710" i="2"/>
  <c r="BF710" i="2" l="1"/>
  <c r="BB710" i="2"/>
  <c r="AX710" i="2"/>
  <c r="BC710" i="2"/>
  <c r="AY710" i="2"/>
  <c r="BG710" i="2"/>
  <c r="BJ710" i="2" l="1"/>
  <c r="AR711" i="2"/>
  <c r="AU711" i="2"/>
  <c r="BI710" i="2"/>
  <c r="AT711" i="2" l="1"/>
  <c r="AQ711" i="2"/>
  <c r="AY711" i="2" l="1"/>
  <c r="BC711" i="2"/>
  <c r="BF711" i="2"/>
  <c r="AX711" i="2"/>
  <c r="BB711" i="2"/>
  <c r="BG711" i="2"/>
  <c r="BJ711" i="2" l="1"/>
  <c r="AU712" i="2"/>
  <c r="AR712" i="2"/>
  <c r="BI711" i="2"/>
  <c r="AQ712" i="2" l="1"/>
  <c r="AT712" i="2"/>
  <c r="BG712" i="2" l="1"/>
  <c r="BB712" i="2"/>
  <c r="AX712" i="2"/>
  <c r="BF712" i="2"/>
  <c r="AY712" i="2"/>
  <c r="BC712" i="2"/>
  <c r="BI712" i="2" l="1"/>
  <c r="AT713" i="2" s="1"/>
  <c r="BJ712" i="2"/>
  <c r="AR713" i="2" s="1"/>
  <c r="AQ713" i="2"/>
  <c r="AU713" i="2" l="1"/>
  <c r="AX713" i="2"/>
  <c r="BF713" i="2"/>
  <c r="BB713" i="2"/>
  <c r="BG713" i="2"/>
  <c r="AY713" i="2"/>
  <c r="BC713" i="2"/>
  <c r="BJ713" i="2" l="1"/>
  <c r="BI713" i="2"/>
  <c r="AT714" i="2" l="1"/>
  <c r="AQ714" i="2"/>
  <c r="AR714" i="2"/>
  <c r="AU714" i="2"/>
  <c r="BB714" i="2" l="1"/>
  <c r="AX714" i="2"/>
  <c r="BF714" i="2"/>
  <c r="BC714" i="2"/>
  <c r="AY714" i="2"/>
  <c r="BG714" i="2"/>
  <c r="BI714" i="2" l="1"/>
  <c r="BJ714" i="2"/>
  <c r="AR715" i="2" s="1"/>
  <c r="AU715" i="2" l="1"/>
  <c r="AQ715" i="2"/>
  <c r="BG715" i="2" s="1"/>
  <c r="AT715" i="2"/>
  <c r="BB715" i="2"/>
  <c r="BF715" i="2"/>
  <c r="AX715" i="2" l="1"/>
  <c r="BC715" i="2"/>
  <c r="AY715" i="2"/>
  <c r="BI715" i="2"/>
  <c r="BJ715" i="2" l="1"/>
  <c r="AR716" i="2"/>
  <c r="AU716" i="2"/>
  <c r="AT716" i="2"/>
  <c r="AQ716" i="2"/>
  <c r="AX716" i="2" l="1"/>
  <c r="BF716" i="2"/>
  <c r="BB716" i="2"/>
  <c r="BG716" i="2"/>
  <c r="AY716" i="2"/>
  <c r="BC716" i="2"/>
  <c r="BJ716" i="2" l="1"/>
  <c r="BI716" i="2"/>
  <c r="AT717" i="2" l="1"/>
  <c r="AQ717" i="2"/>
  <c r="AU717" i="2"/>
  <c r="AR717" i="2"/>
  <c r="BF717" i="2" l="1"/>
  <c r="AX717" i="2"/>
  <c r="BB717" i="2"/>
  <c r="BC717" i="2"/>
  <c r="AY717" i="2"/>
  <c r="BG717" i="2"/>
  <c r="BJ717" i="2" l="1"/>
  <c r="BI717" i="2"/>
  <c r="AT718" i="2" l="1"/>
  <c r="AQ718" i="2"/>
  <c r="AU718" i="2"/>
  <c r="AR718" i="2"/>
  <c r="AY718" i="2" l="1"/>
  <c r="BG718" i="2"/>
  <c r="BC718" i="2"/>
  <c r="AX718" i="2"/>
  <c r="BF718" i="2"/>
  <c r="BB718" i="2"/>
  <c r="BI718" i="2" l="1"/>
  <c r="AT719" i="2" s="1"/>
  <c r="BJ718" i="2"/>
  <c r="AQ719" i="2" l="1"/>
  <c r="AU719" i="2"/>
  <c r="AR719" i="2"/>
  <c r="AY719" i="2" l="1"/>
  <c r="BC719" i="2"/>
  <c r="BG719" i="2"/>
  <c r="AX719" i="2"/>
  <c r="BB719" i="2"/>
  <c r="BF719" i="2"/>
  <c r="BJ719" i="2" l="1"/>
  <c r="AU720" i="2" s="1"/>
  <c r="BI719" i="2"/>
  <c r="AR720" i="2" l="1"/>
  <c r="AT720" i="2"/>
  <c r="AQ720" i="2"/>
  <c r="BG720" i="2" l="1"/>
  <c r="BB720" i="2"/>
  <c r="BF720" i="2"/>
  <c r="AX720" i="2"/>
  <c r="AY720" i="2"/>
  <c r="BC720" i="2"/>
  <c r="BJ720" i="2" l="1"/>
  <c r="BI720" i="2"/>
  <c r="AT721" i="2" l="1"/>
  <c r="AQ721" i="2"/>
  <c r="AU721" i="2"/>
  <c r="AR721" i="2"/>
  <c r="BB721" i="2" l="1"/>
  <c r="AX721" i="2"/>
  <c r="BF721" i="2"/>
  <c r="BG721" i="2"/>
  <c r="BC721" i="2"/>
  <c r="AY721" i="2"/>
  <c r="BI721" i="2" l="1"/>
  <c r="AT722" i="2" s="1"/>
  <c r="BJ721" i="2"/>
  <c r="AQ722" i="2" l="1"/>
  <c r="AU722" i="2"/>
  <c r="AR722" i="2"/>
  <c r="BF722" i="2" l="1"/>
  <c r="BB722" i="2"/>
  <c r="AX722" i="2"/>
  <c r="BC722" i="2"/>
  <c r="BG722" i="2"/>
  <c r="AY722" i="2"/>
  <c r="BI722" i="2" l="1"/>
  <c r="AT723" i="2" s="1"/>
  <c r="BJ722" i="2"/>
  <c r="AQ723" i="2" l="1"/>
  <c r="AR723" i="2"/>
  <c r="AU723" i="2"/>
  <c r="BB723" i="2" l="1"/>
  <c r="BF723" i="2"/>
  <c r="AX723" i="2"/>
  <c r="AY723" i="2"/>
  <c r="BG723" i="2"/>
  <c r="BC723" i="2"/>
  <c r="BI723" i="2" l="1"/>
  <c r="AQ724" i="2" s="1"/>
  <c r="BJ723" i="2"/>
  <c r="AT724" i="2" l="1"/>
  <c r="AU724" i="2"/>
  <c r="AR724" i="2"/>
  <c r="BC724" i="2" l="1"/>
  <c r="BG724" i="2"/>
  <c r="AY724" i="2"/>
  <c r="BF724" i="2"/>
  <c r="BB724" i="2"/>
  <c r="AX724" i="2"/>
  <c r="BI724" i="2" l="1"/>
  <c r="BJ724" i="2"/>
  <c r="AR725" i="2" l="1"/>
  <c r="AU725" i="2"/>
  <c r="AQ725" i="2"/>
  <c r="AT725" i="2"/>
  <c r="BB725" i="2" l="1"/>
  <c r="BF725" i="2"/>
  <c r="AX725" i="2"/>
  <c r="AY725" i="2"/>
  <c r="BC725" i="2"/>
  <c r="BG725" i="2"/>
  <c r="BI725" i="2" l="1"/>
  <c r="BJ725" i="2"/>
  <c r="AR726" i="2" l="1"/>
  <c r="AU726" i="2"/>
  <c r="AQ726" i="2"/>
  <c r="AT726" i="2"/>
  <c r="BB726" i="2" l="1"/>
  <c r="BF726" i="2"/>
  <c r="AX726" i="2"/>
  <c r="BC726" i="2"/>
  <c r="AY726" i="2"/>
  <c r="BG726" i="2"/>
  <c r="BJ726" i="2" l="1"/>
  <c r="AU727" i="2" s="1"/>
  <c r="BI726" i="2"/>
  <c r="AR727" i="2"/>
  <c r="AQ727" i="2" l="1"/>
  <c r="AT727" i="2"/>
  <c r="BF727" i="2" l="1"/>
  <c r="AX727" i="2"/>
  <c r="BB727" i="2"/>
  <c r="BG727" i="2"/>
  <c r="AY727" i="2"/>
  <c r="BC727" i="2"/>
  <c r="BJ727" i="2" l="1"/>
  <c r="BI727" i="2"/>
  <c r="AT728" i="2" l="1"/>
  <c r="AQ728" i="2"/>
  <c r="AU728" i="2"/>
  <c r="AR728" i="2"/>
  <c r="BB728" i="2" l="1"/>
  <c r="AX728" i="2"/>
  <c r="BF728" i="2"/>
  <c r="BC728" i="2"/>
  <c r="BG728" i="2"/>
  <c r="AY728" i="2"/>
  <c r="BJ728" i="2" l="1"/>
  <c r="AU729" i="2" s="1"/>
  <c r="BI728" i="2"/>
  <c r="AR729" i="2"/>
  <c r="AT729" i="2" l="1"/>
  <c r="AQ729" i="2"/>
  <c r="BG729" i="2" l="1"/>
  <c r="AX729" i="2"/>
  <c r="AY729" i="2"/>
  <c r="BC729" i="2"/>
  <c r="BF729" i="2"/>
  <c r="BB729" i="2"/>
  <c r="BJ729" i="2" l="1"/>
  <c r="AR730" i="2" s="1"/>
  <c r="BI729" i="2"/>
  <c r="AT730" i="2" s="1"/>
  <c r="AQ730" i="2" l="1"/>
  <c r="AY730" i="2" s="1"/>
  <c r="AU730" i="2"/>
  <c r="AX730" i="2" l="1"/>
  <c r="BB730" i="2"/>
  <c r="BC730" i="2"/>
  <c r="BF730" i="2"/>
  <c r="BI730" i="2" s="1"/>
  <c r="BG730" i="2"/>
  <c r="BJ730" i="2" s="1"/>
  <c r="AR731" i="2" l="1"/>
  <c r="AU731" i="2"/>
  <c r="AQ731" i="2"/>
  <c r="AT731" i="2"/>
  <c r="BF731" i="2" l="1"/>
  <c r="BB731" i="2"/>
  <c r="AX731" i="2"/>
  <c r="BC731" i="2"/>
  <c r="BG731" i="2"/>
  <c r="AY731" i="2"/>
  <c r="BJ731" i="2" l="1"/>
  <c r="BI731" i="2"/>
  <c r="AT732" i="2" l="1"/>
  <c r="AQ732" i="2"/>
  <c r="AU732" i="2"/>
  <c r="AR732" i="2"/>
  <c r="AY732" i="2" l="1"/>
  <c r="BC732" i="2"/>
  <c r="BG732" i="2"/>
  <c r="AX732" i="2"/>
  <c r="BF732" i="2"/>
  <c r="BB732" i="2"/>
  <c r="BI732" i="2" l="1"/>
  <c r="AQ733" i="2" s="1"/>
  <c r="BJ732" i="2"/>
  <c r="AT733" i="2"/>
  <c r="AU733" i="2" l="1"/>
  <c r="AR733" i="2"/>
  <c r="BF733" i="2" l="1"/>
  <c r="AX733" i="2"/>
  <c r="AY733" i="2"/>
  <c r="BB733" i="2"/>
  <c r="BC733" i="2"/>
  <c r="BG733" i="2"/>
  <c r="BJ733" i="2" l="1"/>
  <c r="AR734" i="2" s="1"/>
  <c r="AU734" i="2"/>
  <c r="BI733" i="2"/>
  <c r="AQ734" i="2" l="1"/>
  <c r="AT734" i="2"/>
  <c r="BB734" i="2" l="1"/>
  <c r="AX734" i="2"/>
  <c r="BF734" i="2"/>
  <c r="AY734" i="2"/>
  <c r="BC734" i="2"/>
  <c r="BG734" i="2"/>
  <c r="BI734" i="2" l="1"/>
  <c r="AQ735" i="2" s="1"/>
  <c r="BJ734" i="2"/>
  <c r="AT735" i="2" l="1"/>
  <c r="AU735" i="2"/>
  <c r="AR735" i="2"/>
  <c r="BF735" i="2" l="1"/>
  <c r="BG735" i="2"/>
  <c r="AX735" i="2"/>
  <c r="BB735" i="2"/>
  <c r="AY735" i="2"/>
  <c r="BC735" i="2"/>
  <c r="BJ735" i="2" l="1"/>
  <c r="BI735" i="2"/>
  <c r="AQ736" i="2" l="1"/>
  <c r="AT736" i="2"/>
  <c r="AR736" i="2"/>
  <c r="AU736" i="2"/>
  <c r="BG736" i="2" l="1"/>
  <c r="AY736" i="2"/>
  <c r="BC736" i="2"/>
  <c r="BF736" i="2"/>
  <c r="BB736" i="2"/>
  <c r="AX736" i="2"/>
  <c r="BI736" i="2" l="1"/>
  <c r="BJ736" i="2"/>
  <c r="AU737" i="2" l="1"/>
  <c r="AR737" i="2"/>
  <c r="AT737" i="2"/>
  <c r="AQ737" i="2"/>
  <c r="BB737" i="2" l="1"/>
  <c r="AX737" i="2"/>
  <c r="BF737" i="2"/>
  <c r="BC737" i="2"/>
  <c r="BG737" i="2"/>
  <c r="AY737" i="2"/>
  <c r="BI737" i="2" l="1"/>
  <c r="BJ737" i="2"/>
  <c r="AU738" i="2" s="1"/>
  <c r="AR738" i="2" l="1"/>
  <c r="AT738" i="2"/>
  <c r="AQ738" i="2"/>
  <c r="BF738" i="2" l="1"/>
  <c r="BG738" i="2"/>
  <c r="BC738" i="2"/>
  <c r="AX738" i="2"/>
  <c r="BB738" i="2"/>
  <c r="AY738" i="2"/>
  <c r="BJ738" i="2" l="1"/>
  <c r="BI738" i="2"/>
  <c r="AT739" i="2" l="1"/>
  <c r="AQ739" i="2"/>
  <c r="AU739" i="2"/>
  <c r="AR739" i="2"/>
  <c r="BG739" i="2" l="1"/>
  <c r="BC739" i="2"/>
  <c r="AY739" i="2"/>
  <c r="BF739" i="2"/>
  <c r="AX739" i="2"/>
  <c r="BB739" i="2"/>
  <c r="BI739" i="2" l="1"/>
  <c r="BJ739" i="2"/>
  <c r="AU740" i="2" l="1"/>
  <c r="AR740" i="2"/>
  <c r="AT740" i="2"/>
  <c r="AQ740" i="2"/>
  <c r="AX740" i="2" l="1"/>
  <c r="BB740" i="2"/>
  <c r="BF740" i="2"/>
  <c r="BC740" i="2"/>
  <c r="AY740" i="2"/>
  <c r="BG740" i="2"/>
  <c r="BI740" i="2" l="1"/>
  <c r="AT741" i="2" s="1"/>
  <c r="BJ740" i="2"/>
  <c r="AQ741" i="2" l="1"/>
  <c r="AR741" i="2"/>
  <c r="AU741" i="2"/>
  <c r="BC741" i="2" l="1"/>
  <c r="BG741" i="2"/>
  <c r="AY741" i="2"/>
  <c r="BB741" i="2"/>
  <c r="AX741" i="2"/>
  <c r="BF741" i="2"/>
  <c r="BI741" i="2" l="1"/>
  <c r="AQ742" i="2" s="1"/>
  <c r="BJ741" i="2"/>
  <c r="AT742" i="2" l="1"/>
  <c r="AU742" i="2"/>
  <c r="AR742" i="2"/>
  <c r="BF742" i="2" l="1"/>
  <c r="AX742" i="2"/>
  <c r="BB742" i="2"/>
  <c r="BG742" i="2"/>
  <c r="AY742" i="2"/>
  <c r="BC742" i="2"/>
  <c r="BI742" i="2" l="1"/>
  <c r="BJ742" i="2"/>
  <c r="AT743" i="2"/>
  <c r="AQ743" i="2"/>
  <c r="AR743" i="2" l="1"/>
  <c r="AU743" i="2"/>
  <c r="BF743" i="2" l="1"/>
  <c r="AY743" i="2"/>
  <c r="BG743" i="2"/>
  <c r="BC743" i="2"/>
  <c r="BB743" i="2"/>
  <c r="AX743" i="2"/>
  <c r="BI743" i="2" l="1"/>
  <c r="AT744" i="2"/>
  <c r="AQ744" i="2"/>
  <c r="BJ743" i="2"/>
  <c r="AU744" i="2" l="1"/>
  <c r="AR744" i="2"/>
  <c r="BG744" i="2" l="1"/>
  <c r="BC744" i="2"/>
  <c r="AY744" i="2"/>
  <c r="BF744" i="2"/>
  <c r="BB744" i="2"/>
  <c r="AX744" i="2"/>
  <c r="BI744" i="2" l="1"/>
  <c r="AQ745" i="2" s="1"/>
  <c r="BJ744" i="2"/>
  <c r="AT745" i="2" l="1"/>
  <c r="AR745" i="2"/>
  <c r="AU745" i="2"/>
  <c r="BF745" i="2"/>
  <c r="AX745" i="2" l="1"/>
  <c r="BB745" i="2"/>
  <c r="BG745" i="2"/>
  <c r="BC745" i="2"/>
  <c r="AY745" i="2"/>
  <c r="BI745" i="2" l="1"/>
  <c r="AT746" i="2"/>
  <c r="AQ746" i="2"/>
  <c r="BJ745" i="2"/>
  <c r="AU746" i="2" l="1"/>
  <c r="AR746" i="2"/>
  <c r="BG746" i="2" l="1"/>
  <c r="BC746" i="2"/>
  <c r="AY746" i="2"/>
  <c r="BB746" i="2"/>
  <c r="BF746" i="2"/>
  <c r="AX746" i="2"/>
  <c r="BI746" i="2" l="1"/>
  <c r="AT747" i="2" s="1"/>
  <c r="BJ746" i="2"/>
  <c r="AQ747" i="2" l="1"/>
  <c r="AR747" i="2"/>
  <c r="AU747" i="2"/>
  <c r="BF747" i="2" l="1"/>
  <c r="AX747" i="2"/>
  <c r="BB747" i="2"/>
  <c r="BC747" i="2"/>
  <c r="AY747" i="2"/>
  <c r="BG747" i="2"/>
  <c r="BI747" i="2" l="1"/>
  <c r="BJ747" i="2"/>
  <c r="AU748" i="2" s="1"/>
  <c r="AT748" i="2"/>
  <c r="AQ748" i="2"/>
  <c r="AR748" i="2" l="1"/>
  <c r="BF748" i="2" l="1"/>
  <c r="BG748" i="2"/>
  <c r="AX748" i="2"/>
  <c r="AY748" i="2"/>
  <c r="BC748" i="2"/>
  <c r="BB748" i="2"/>
  <c r="BI748" i="2" s="1"/>
  <c r="BJ748" i="2" l="1"/>
  <c r="AU749" i="2" s="1"/>
  <c r="AR749" i="2"/>
  <c r="AT749" i="2"/>
  <c r="AQ749" i="2"/>
  <c r="AY749" i="2" l="1"/>
  <c r="BC749" i="2"/>
  <c r="AX749" i="2"/>
  <c r="BB749" i="2"/>
  <c r="BF749" i="2"/>
  <c r="BG749" i="2"/>
  <c r="BJ749" i="2" l="1"/>
  <c r="AU750" i="2" s="1"/>
  <c r="BI749" i="2"/>
  <c r="AT750" i="2" s="1"/>
  <c r="AR750" i="2" l="1"/>
  <c r="AQ750" i="2"/>
  <c r="BC750" i="2" s="1"/>
  <c r="BB750" i="2" l="1"/>
  <c r="AX750" i="2"/>
  <c r="BF750" i="2"/>
  <c r="BG750" i="2"/>
  <c r="AY750" i="2"/>
  <c r="BI750" i="2" l="1"/>
  <c r="BJ750" i="2"/>
  <c r="AU751" i="2" s="1"/>
  <c r="AT751" i="2"/>
  <c r="AQ751" i="2"/>
  <c r="AR751" i="2" l="1"/>
  <c r="AY751" i="2"/>
  <c r="BC751" i="2"/>
  <c r="BG751" i="2"/>
  <c r="AX751" i="2"/>
  <c r="BF751" i="2"/>
  <c r="BB751" i="2"/>
  <c r="BI751" i="2" l="1"/>
  <c r="AT752" i="2" s="1"/>
  <c r="BJ751" i="2"/>
  <c r="AU752" i="2" s="1"/>
  <c r="AR752" i="2" l="1"/>
  <c r="AQ752" i="2"/>
  <c r="BC752" i="2" s="1"/>
  <c r="BF752" i="2" l="1"/>
  <c r="BB752" i="2"/>
  <c r="AX752" i="2"/>
  <c r="AY752" i="2"/>
  <c r="BG752" i="2"/>
  <c r="BJ752" i="2" s="1"/>
  <c r="BI752" i="2" l="1"/>
  <c r="AU753" i="2"/>
  <c r="AR753" i="2"/>
  <c r="AT753" i="2"/>
  <c r="AQ753" i="2"/>
  <c r="BF753" i="2" l="1"/>
  <c r="AX753" i="2"/>
  <c r="BB753" i="2"/>
  <c r="BC753" i="2"/>
  <c r="AY753" i="2"/>
  <c r="BG753" i="2"/>
  <c r="BJ753" i="2" l="1"/>
  <c r="BI753" i="2"/>
  <c r="AT754" i="2" l="1"/>
  <c r="AQ754" i="2"/>
  <c r="AU754" i="2"/>
  <c r="AR754" i="2"/>
  <c r="AX754" i="2" l="1"/>
  <c r="BF754" i="2"/>
  <c r="BB754" i="2"/>
  <c r="AY754" i="2"/>
  <c r="BC754" i="2"/>
  <c r="BG754" i="2"/>
  <c r="BJ754" i="2" l="1"/>
  <c r="AU755" i="2" s="1"/>
  <c r="BI754" i="2"/>
  <c r="AR755" i="2" l="1"/>
  <c r="AT755" i="2"/>
  <c r="AQ755" i="2"/>
  <c r="BG755" i="2" l="1"/>
  <c r="BC755" i="2"/>
  <c r="BB755" i="2"/>
  <c r="AX755" i="2"/>
  <c r="BF755" i="2"/>
  <c r="AY755" i="2"/>
  <c r="BJ755" i="2" l="1"/>
  <c r="BI755" i="2"/>
  <c r="AQ756" i="2" s="1"/>
  <c r="AR756" i="2"/>
  <c r="AU756" i="2"/>
  <c r="AT756" i="2" l="1"/>
  <c r="AX756" i="2"/>
  <c r="BF756" i="2"/>
  <c r="BB756" i="2"/>
  <c r="BC756" i="2"/>
  <c r="AY756" i="2"/>
  <c r="BG756" i="2"/>
  <c r="BI756" i="2" l="1"/>
  <c r="AT757" i="2" s="1"/>
  <c r="AQ757" i="2"/>
  <c r="BJ756" i="2"/>
  <c r="AR757" i="2" l="1"/>
  <c r="AU757" i="2"/>
  <c r="BC757" i="2" l="1"/>
  <c r="AY757" i="2"/>
  <c r="BG757" i="2"/>
  <c r="BB757" i="2"/>
  <c r="BF757" i="2"/>
  <c r="AX757" i="2"/>
  <c r="BJ757" i="2" l="1"/>
  <c r="BI757" i="2"/>
  <c r="AU758" i="2" l="1"/>
  <c r="AR758" i="2"/>
  <c r="AT758" i="2"/>
  <c r="AQ758" i="2"/>
  <c r="BB758" i="2" l="1"/>
  <c r="BF758" i="2"/>
  <c r="AX758" i="2"/>
  <c r="BC758" i="2"/>
  <c r="BG758" i="2"/>
  <c r="AY758" i="2"/>
  <c r="BJ758" i="2" l="1"/>
  <c r="BI758" i="2"/>
  <c r="AU759" i="2"/>
  <c r="AR759" i="2"/>
  <c r="AT759" i="2" l="1"/>
  <c r="AQ759" i="2"/>
  <c r="BG759" i="2" l="1"/>
  <c r="BF759" i="2"/>
  <c r="AX759" i="2"/>
  <c r="BB759" i="2"/>
  <c r="BC759" i="2"/>
  <c r="AY759" i="2"/>
  <c r="BJ759" i="2" l="1"/>
  <c r="AU760" i="2" s="1"/>
  <c r="BI759" i="2"/>
  <c r="AR760" i="2" l="1"/>
  <c r="AT760" i="2"/>
  <c r="AQ760" i="2"/>
  <c r="BG760" i="2" l="1"/>
  <c r="BC760" i="2"/>
  <c r="AX760" i="2"/>
  <c r="BF760" i="2"/>
  <c r="BB760" i="2"/>
  <c r="AY760" i="2"/>
  <c r="BJ760" i="2" l="1"/>
  <c r="BI760" i="2"/>
  <c r="AR761" i="2"/>
  <c r="AU761" i="2"/>
  <c r="AT761" i="2" l="1"/>
  <c r="AQ761" i="2"/>
  <c r="BG761" i="2" l="1"/>
  <c r="BC761" i="2"/>
  <c r="AY761" i="2"/>
  <c r="BB761" i="2"/>
  <c r="BF761" i="2"/>
  <c r="AX761" i="2"/>
  <c r="BJ761" i="2" l="1"/>
  <c r="BI761" i="2"/>
  <c r="AR762" i="2"/>
  <c r="AU762" i="2"/>
  <c r="AQ762" i="2" l="1"/>
  <c r="AT762" i="2"/>
  <c r="BB762" i="2" l="1"/>
  <c r="BF762" i="2"/>
  <c r="AX762" i="2"/>
  <c r="AY762" i="2"/>
  <c r="BC762" i="2"/>
  <c r="BG762" i="2"/>
  <c r="BI762" i="2" l="1"/>
  <c r="AT763" i="2" s="1"/>
  <c r="BJ762" i="2"/>
  <c r="AU763" i="2" s="1"/>
  <c r="AQ763" i="2"/>
  <c r="AR763" i="2" l="1"/>
  <c r="BB763" i="2" s="1"/>
  <c r="BF763" i="2" l="1"/>
  <c r="AX763" i="2"/>
  <c r="AY763" i="2"/>
  <c r="BC763" i="2"/>
  <c r="BG763" i="2"/>
  <c r="BJ763" i="2" s="1"/>
  <c r="BI763" i="2"/>
  <c r="AT764" i="2" s="1"/>
  <c r="AQ764" i="2" l="1"/>
  <c r="AR764" i="2"/>
  <c r="AU764" i="2"/>
  <c r="BF764" i="2" l="1"/>
  <c r="BB764" i="2"/>
  <c r="AX764" i="2"/>
  <c r="BG764" i="2"/>
  <c r="BC764" i="2"/>
  <c r="AY764" i="2"/>
  <c r="BI764" i="2" l="1"/>
  <c r="AT765" i="2" s="1"/>
  <c r="BJ764" i="2"/>
  <c r="AQ765" i="2" l="1"/>
  <c r="AR765" i="2"/>
  <c r="AU765" i="2"/>
  <c r="AY765" i="2" l="1"/>
  <c r="BC765" i="2"/>
  <c r="BG765" i="2"/>
  <c r="BB765" i="2"/>
  <c r="AX765" i="2"/>
  <c r="BF765" i="2"/>
  <c r="BI765" i="2" l="1"/>
  <c r="AQ766" i="2" s="1"/>
  <c r="BJ765" i="2"/>
  <c r="AT766" i="2" l="1"/>
  <c r="AU766" i="2"/>
  <c r="AR766" i="2"/>
  <c r="BF766" i="2" l="1"/>
  <c r="BB766" i="2"/>
  <c r="AX766" i="2"/>
  <c r="BG766" i="2"/>
  <c r="BC766" i="2"/>
  <c r="AY766" i="2"/>
  <c r="BI766" i="2" l="1"/>
  <c r="AT767" i="2" s="1"/>
  <c r="BJ766" i="2"/>
  <c r="AQ767" i="2"/>
  <c r="AR767" i="2" l="1"/>
  <c r="AU767" i="2"/>
  <c r="AX767" i="2" l="1"/>
  <c r="BG767" i="2"/>
  <c r="BC767" i="2"/>
  <c r="AY767" i="2"/>
  <c r="BB767" i="2"/>
  <c r="BF767" i="2"/>
  <c r="BI767" i="2" l="1"/>
  <c r="AT768" i="2" s="1"/>
  <c r="BJ767" i="2"/>
  <c r="AQ768" i="2" l="1"/>
  <c r="AU768" i="2"/>
  <c r="AR768" i="2"/>
  <c r="AX768" i="2" l="1"/>
  <c r="BF768" i="2"/>
  <c r="BB768" i="2"/>
  <c r="BG768" i="2"/>
  <c r="BC768" i="2"/>
  <c r="AY768" i="2"/>
  <c r="BI768" i="2" l="1"/>
  <c r="AT769" i="2" s="1"/>
  <c r="BJ768" i="2"/>
  <c r="AQ769" i="2" l="1"/>
  <c r="AU769" i="2"/>
  <c r="AR769" i="2"/>
  <c r="BB769" i="2" l="1"/>
  <c r="AX769" i="2"/>
  <c r="BF769" i="2"/>
  <c r="BG769" i="2"/>
  <c r="AY769" i="2"/>
  <c r="BC769" i="2"/>
  <c r="BJ769" i="2" l="1"/>
  <c r="AU770" i="2" s="1"/>
  <c r="BI769" i="2"/>
  <c r="AQ770" i="2" s="1"/>
  <c r="AR770" i="2" l="1"/>
  <c r="BG770" i="2" s="1"/>
  <c r="AT770" i="2"/>
  <c r="AX770" i="2" l="1"/>
  <c r="BB770" i="2"/>
  <c r="BC770" i="2"/>
  <c r="BF770" i="2"/>
  <c r="BI770" i="2" s="1"/>
  <c r="AY770" i="2"/>
  <c r="BJ770" i="2" s="1"/>
  <c r="AT771" i="2" l="1"/>
  <c r="AQ771" i="2"/>
  <c r="AU771" i="2"/>
  <c r="AR771" i="2"/>
  <c r="BG771" i="2" l="1"/>
  <c r="AY771" i="2"/>
  <c r="BB771" i="2"/>
  <c r="AX771" i="2"/>
  <c r="BC771" i="2"/>
  <c r="BF771" i="2"/>
  <c r="BI771" i="2" l="1"/>
  <c r="AT772" i="2" s="1"/>
  <c r="BJ771" i="2"/>
  <c r="AQ772" i="2" l="1"/>
  <c r="AU772" i="2"/>
  <c r="AR772" i="2"/>
  <c r="BG772" i="2" l="1"/>
  <c r="AY772" i="2"/>
  <c r="BC772" i="2"/>
  <c r="AX772" i="2"/>
  <c r="BF772" i="2"/>
  <c r="BB772" i="2"/>
  <c r="BI772" i="2" l="1"/>
  <c r="BJ772" i="2"/>
  <c r="AU773" i="2" l="1"/>
  <c r="AR773" i="2"/>
  <c r="AT773" i="2"/>
  <c r="AQ773" i="2"/>
  <c r="AX773" i="2" l="1"/>
  <c r="BB773" i="2"/>
  <c r="BF773" i="2"/>
  <c r="BG773" i="2"/>
  <c r="BC773" i="2"/>
  <c r="AY773" i="2"/>
  <c r="BI773" i="2" l="1"/>
  <c r="AT774" i="2" s="1"/>
  <c r="BJ773" i="2"/>
  <c r="AU774" i="2" s="1"/>
  <c r="AQ774" i="2" l="1"/>
  <c r="AR774" i="2"/>
  <c r="BC774" i="2" l="1"/>
  <c r="AX774" i="2"/>
  <c r="BB774" i="2"/>
  <c r="BF774" i="2"/>
  <c r="BG774" i="2"/>
  <c r="AY774" i="2"/>
  <c r="BI774" i="2" l="1"/>
  <c r="BJ774" i="2"/>
  <c r="AQ775" i="2"/>
  <c r="AT775" i="2"/>
  <c r="AU775" i="2" l="1"/>
  <c r="AR775" i="2"/>
  <c r="AX775" i="2" l="1"/>
  <c r="BG775" i="2"/>
  <c r="BF775" i="2"/>
  <c r="AY775" i="2"/>
  <c r="BC775" i="2"/>
  <c r="BB775" i="2"/>
  <c r="BI775" i="2" s="1"/>
  <c r="BJ775" i="2" l="1"/>
  <c r="AT776" i="2"/>
  <c r="AQ776" i="2"/>
  <c r="AU776" i="2"/>
  <c r="AR776" i="2"/>
  <c r="AY776" i="2" l="1"/>
  <c r="BC776" i="2"/>
  <c r="BG776" i="2"/>
  <c r="AX776" i="2"/>
  <c r="BF776" i="2"/>
  <c r="BB776" i="2"/>
  <c r="BJ776" i="2" l="1"/>
  <c r="AU777" i="2" s="1"/>
  <c r="BI776" i="2"/>
  <c r="AR777" i="2" l="1"/>
  <c r="AQ777" i="2"/>
  <c r="AT777" i="2"/>
  <c r="AX777" i="2" l="1"/>
  <c r="AY777" i="2"/>
  <c r="BC777" i="2"/>
  <c r="BG777" i="2"/>
  <c r="BB777" i="2"/>
  <c r="BF777" i="2"/>
  <c r="BJ777" i="2" l="1"/>
  <c r="AU778" i="2" s="1"/>
  <c r="BI777" i="2"/>
  <c r="AT778" i="2" s="1"/>
  <c r="AQ778" i="2"/>
  <c r="AR778" i="2" l="1"/>
  <c r="BC778" i="2" s="1"/>
  <c r="BF778" i="2" l="1"/>
  <c r="AX778" i="2"/>
  <c r="BB778" i="2"/>
  <c r="AY778" i="2"/>
  <c r="BG778" i="2"/>
  <c r="BJ778" i="2" s="1"/>
  <c r="BI778" i="2"/>
  <c r="AU779" i="2" l="1"/>
  <c r="AR779" i="2"/>
  <c r="AT779" i="2"/>
  <c r="AQ779" i="2"/>
  <c r="AY779" i="2" l="1"/>
  <c r="BC779" i="2"/>
  <c r="BG779" i="2"/>
  <c r="BB779" i="2"/>
  <c r="BF779" i="2"/>
  <c r="AX779" i="2"/>
  <c r="BJ779" i="2" l="1"/>
  <c r="AR780" i="2" s="1"/>
  <c r="BI779" i="2"/>
  <c r="AU780" i="2" l="1"/>
  <c r="AT780" i="2"/>
  <c r="AQ780" i="2"/>
  <c r="BC780" i="2" l="1"/>
  <c r="BG780" i="2"/>
  <c r="BB780" i="2"/>
  <c r="BF780" i="2"/>
  <c r="AX780" i="2"/>
  <c r="AY780" i="2"/>
  <c r="BJ780" i="2" l="1"/>
  <c r="AU781" i="2" s="1"/>
  <c r="BI780" i="2"/>
  <c r="AQ781" i="2" s="1"/>
  <c r="AR781" i="2" l="1"/>
  <c r="BF781" i="2" s="1"/>
  <c r="AT781" i="2"/>
  <c r="AY781" i="2" l="1"/>
  <c r="AX781" i="2"/>
  <c r="BC781" i="2"/>
  <c r="BB781" i="2"/>
  <c r="BG781" i="2"/>
  <c r="BJ781" i="2" s="1"/>
  <c r="AU782" i="2" s="1"/>
  <c r="BI781" i="2" l="1"/>
  <c r="AT782" i="2" s="1"/>
  <c r="AQ782" i="2"/>
  <c r="AR782" i="2"/>
  <c r="AX782" i="2" l="1"/>
  <c r="BB782" i="2"/>
  <c r="BC782" i="2"/>
  <c r="AY782" i="2"/>
  <c r="BG782" i="2"/>
  <c r="BJ782" i="2" s="1"/>
  <c r="BF782" i="2"/>
  <c r="BI782" i="2" s="1"/>
  <c r="AQ783" i="2" l="1"/>
  <c r="AT783" i="2"/>
  <c r="AU783" i="2"/>
  <c r="AR783" i="2"/>
  <c r="AX783" i="2" l="1"/>
  <c r="BF783" i="2"/>
  <c r="BB783" i="2"/>
  <c r="BG783" i="2"/>
  <c r="BC783" i="2"/>
  <c r="AY783" i="2"/>
  <c r="BI783" i="2" l="1"/>
  <c r="BJ783" i="2"/>
  <c r="AT784" i="2" l="1"/>
  <c r="AQ784" i="2"/>
  <c r="AU784" i="2"/>
  <c r="AR784" i="2"/>
  <c r="BF784" i="2" l="1"/>
  <c r="BB784" i="2"/>
  <c r="BG784" i="2"/>
  <c r="BC784" i="2"/>
  <c r="AY784" i="2"/>
  <c r="AX784" i="2"/>
  <c r="BJ784" i="2" l="1"/>
  <c r="BI784" i="2"/>
  <c r="AQ785" i="2" l="1"/>
  <c r="AT785" i="2"/>
  <c r="AU785" i="2"/>
  <c r="AR785" i="2"/>
  <c r="AY785" i="2" l="1"/>
  <c r="BC785" i="2"/>
  <c r="BG785" i="2"/>
  <c r="BF785" i="2"/>
  <c r="BB785" i="2"/>
  <c r="AX785" i="2"/>
  <c r="BJ785" i="2" l="1"/>
  <c r="AU786" i="2" s="1"/>
  <c r="BI785" i="2"/>
  <c r="AR786" i="2" l="1"/>
  <c r="AT786" i="2"/>
  <c r="AQ786" i="2"/>
  <c r="BB786" i="2" l="1"/>
  <c r="BF786" i="2"/>
  <c r="AX786" i="2"/>
  <c r="AY786" i="2"/>
  <c r="BC786" i="2"/>
  <c r="BG786" i="2"/>
  <c r="BI786" i="2" l="1"/>
  <c r="AQ787" i="2" s="1"/>
  <c r="BJ786" i="2"/>
  <c r="AR787" i="2" s="1"/>
  <c r="AT787" i="2" l="1"/>
  <c r="AU787" i="2"/>
  <c r="BB787" i="2"/>
  <c r="AX787" i="2"/>
  <c r="BF787" i="2"/>
  <c r="BG787" i="2"/>
  <c r="AY787" i="2"/>
  <c r="BC787" i="2"/>
  <c r="BI787" i="2" l="1"/>
  <c r="AT788" i="2" s="1"/>
  <c r="BJ787" i="2"/>
  <c r="AU788" i="2" s="1"/>
  <c r="AQ788" i="2"/>
  <c r="AR788" i="2" l="1"/>
  <c r="BG788" i="2" s="1"/>
  <c r="AX788" i="2"/>
  <c r="BB788" i="2"/>
  <c r="BC788" i="2" l="1"/>
  <c r="AY788" i="2"/>
  <c r="BJ788" i="2" s="1"/>
  <c r="AR789" i="2" s="1"/>
  <c r="BF788" i="2"/>
  <c r="BI788" i="2" s="1"/>
  <c r="AQ789" i="2" l="1"/>
  <c r="BC789" i="2" s="1"/>
  <c r="AT789" i="2"/>
  <c r="AU789" i="2"/>
  <c r="BF789" i="2" l="1"/>
  <c r="AX789" i="2"/>
  <c r="BB789" i="2"/>
  <c r="AY789" i="2"/>
  <c r="BG789" i="2"/>
  <c r="BJ789" i="2" l="1"/>
  <c r="BI789" i="2"/>
  <c r="AT790" i="2" s="1"/>
  <c r="AQ790" i="2"/>
  <c r="AU790" i="2"/>
  <c r="AR790" i="2"/>
  <c r="AY790" i="2" l="1"/>
  <c r="BG790" i="2"/>
  <c r="BC790" i="2"/>
  <c r="BB790" i="2"/>
  <c r="BF790" i="2"/>
  <c r="AX790" i="2"/>
  <c r="BI790" i="2" l="1"/>
  <c r="BJ790" i="2"/>
  <c r="AU791" i="2" l="1"/>
  <c r="AR791" i="2"/>
  <c r="AT791" i="2"/>
  <c r="AQ791" i="2"/>
  <c r="BC791" i="2" l="1"/>
  <c r="BG791" i="2"/>
  <c r="AY791" i="2"/>
  <c r="AX791" i="2"/>
  <c r="BB791" i="2"/>
  <c r="BF791" i="2"/>
  <c r="BI791" i="2" l="1"/>
  <c r="AT792" i="2" s="1"/>
  <c r="BJ791" i="2"/>
  <c r="AU792" i="2" s="1"/>
  <c r="AR792" i="2"/>
  <c r="AQ792" i="2" l="1"/>
  <c r="AY792" i="2" s="1"/>
  <c r="BF792" i="2" l="1"/>
  <c r="AX792" i="2"/>
  <c r="BB792" i="2"/>
  <c r="BC792" i="2"/>
  <c r="BG792" i="2"/>
  <c r="BJ792" i="2" l="1"/>
  <c r="BI792" i="2"/>
  <c r="AU793" i="2"/>
  <c r="AR793" i="2"/>
  <c r="AT793" i="2"/>
  <c r="AQ793" i="2"/>
  <c r="BC793" i="2" l="1"/>
  <c r="BG793" i="2"/>
  <c r="AY793" i="2"/>
  <c r="BF793" i="2"/>
  <c r="BB793" i="2"/>
  <c r="AX793" i="2"/>
  <c r="BI793" i="2" l="1"/>
  <c r="BJ793" i="2"/>
  <c r="AU794" i="2" l="1"/>
  <c r="AR794" i="2"/>
  <c r="AT794" i="2"/>
  <c r="AQ794" i="2"/>
  <c r="AY794" i="2" l="1"/>
  <c r="BC794" i="2"/>
  <c r="BG794" i="2"/>
  <c r="AX794" i="2"/>
  <c r="BB794" i="2"/>
  <c r="BF794" i="2"/>
  <c r="BJ794" i="2" l="1"/>
  <c r="AU795" i="2" s="1"/>
  <c r="BI794" i="2"/>
  <c r="AR795" i="2" l="1"/>
  <c r="AT795" i="2"/>
  <c r="AQ795" i="2"/>
  <c r="AX795" i="2" l="1"/>
  <c r="BF795" i="2"/>
  <c r="BB795" i="2"/>
  <c r="BC795" i="2"/>
  <c r="AY795" i="2"/>
  <c r="BG795" i="2"/>
  <c r="BJ795" i="2" l="1"/>
  <c r="AU796" i="2" s="1"/>
  <c r="BI795" i="2"/>
  <c r="AR796" i="2" l="1"/>
  <c r="AT796" i="2"/>
  <c r="AQ796" i="2"/>
  <c r="BF796" i="2" l="1"/>
  <c r="BB796" i="2"/>
  <c r="AX796" i="2"/>
  <c r="BC796" i="2"/>
  <c r="AY796" i="2"/>
  <c r="BG796" i="2"/>
  <c r="BJ796" i="2" l="1"/>
  <c r="BI796" i="2"/>
  <c r="AQ797" i="2" l="1"/>
  <c r="AT797" i="2"/>
  <c r="AR797" i="2"/>
  <c r="AU797" i="2"/>
  <c r="BC797" i="2" l="1"/>
  <c r="AY797" i="2"/>
  <c r="BG797" i="2"/>
  <c r="BF797" i="2"/>
  <c r="AX797" i="2"/>
  <c r="BB797" i="2"/>
  <c r="BI797" i="2" l="1"/>
  <c r="AT798" i="2" s="1"/>
  <c r="BJ797" i="2"/>
  <c r="AU798" i="2" s="1"/>
  <c r="AQ798" i="2"/>
  <c r="AR798" i="2" l="1"/>
  <c r="BF798" i="2" s="1"/>
  <c r="AX798" i="2" l="1"/>
  <c r="BC798" i="2"/>
  <c r="AY798" i="2"/>
  <c r="BG798" i="2"/>
  <c r="BB798" i="2"/>
  <c r="BJ798" i="2" l="1"/>
  <c r="BI798" i="2"/>
  <c r="AT799" i="2" s="1"/>
  <c r="AQ799" i="2"/>
  <c r="AU799" i="2"/>
  <c r="AR799" i="2"/>
  <c r="BB799" i="2" l="1"/>
  <c r="AX799" i="2"/>
  <c r="BF799" i="2"/>
  <c r="BC799" i="2"/>
  <c r="BG799" i="2"/>
  <c r="AY799" i="2"/>
  <c r="BI799" i="2" l="1"/>
  <c r="AT800" i="2" s="1"/>
  <c r="BJ799" i="2"/>
  <c r="AQ800" i="2" l="1"/>
  <c r="AR800" i="2"/>
  <c r="AU800" i="2"/>
  <c r="BC800" i="2" l="1"/>
  <c r="BG800" i="2"/>
  <c r="AY800" i="2"/>
  <c r="BB800" i="2"/>
  <c r="BF800" i="2"/>
  <c r="AX800" i="2"/>
  <c r="BI800" i="2" l="1"/>
  <c r="BJ800" i="2"/>
  <c r="AR801" i="2" l="1"/>
  <c r="AU801" i="2"/>
  <c r="AT801" i="2"/>
  <c r="AQ801" i="2"/>
  <c r="AX801" i="2" l="1"/>
  <c r="BB801" i="2"/>
  <c r="BF801" i="2"/>
  <c r="BC801" i="2"/>
  <c r="BG801" i="2"/>
  <c r="AY801" i="2"/>
  <c r="BI801" i="2" l="1"/>
  <c r="AQ802" i="2" s="1"/>
  <c r="BJ801" i="2"/>
  <c r="AT802" i="2" l="1"/>
  <c r="AR802" i="2"/>
  <c r="AU802" i="2"/>
  <c r="BC802" i="2" l="1"/>
  <c r="BG802" i="2"/>
  <c r="AY802" i="2"/>
  <c r="BF802" i="2"/>
  <c r="BB802" i="2"/>
  <c r="AX802" i="2"/>
  <c r="BI802" i="2" l="1"/>
  <c r="BJ802" i="2"/>
  <c r="AU803" i="2" l="1"/>
  <c r="AR803" i="2"/>
  <c r="AQ803" i="2"/>
  <c r="AT803" i="2"/>
  <c r="BC803" i="2" l="1"/>
  <c r="AY803" i="2"/>
  <c r="BG803" i="2"/>
  <c r="BF803" i="2"/>
  <c r="AX803" i="2"/>
  <c r="BB803" i="2"/>
  <c r="BJ803" i="2" l="1"/>
  <c r="AU804" i="2" s="1"/>
  <c r="BI803" i="2"/>
  <c r="AR804" i="2" l="1"/>
  <c r="AT804" i="2"/>
  <c r="AQ804" i="2"/>
  <c r="BG804" i="2" l="1"/>
  <c r="AY804" i="2"/>
  <c r="BC804" i="2"/>
  <c r="BB804" i="2"/>
  <c r="BF804" i="2"/>
  <c r="AX804" i="2"/>
  <c r="BJ804" i="2" l="1"/>
  <c r="AU805" i="2" s="1"/>
  <c r="BI804" i="2"/>
  <c r="AR805" i="2" l="1"/>
  <c r="AQ805" i="2"/>
  <c r="AT805" i="2"/>
  <c r="BB805" i="2" l="1"/>
  <c r="AX805" i="2"/>
  <c r="BF805" i="2"/>
  <c r="BC805" i="2"/>
  <c r="BG805" i="2"/>
  <c r="AY805" i="2"/>
  <c r="BI805" i="2" l="1"/>
  <c r="AT806" i="2" s="1"/>
  <c r="BJ805" i="2"/>
  <c r="AQ806" i="2" l="1"/>
  <c r="AR806" i="2"/>
  <c r="AU806" i="2"/>
  <c r="BB806" i="2" l="1"/>
  <c r="BC806" i="2"/>
  <c r="AY806" i="2"/>
  <c r="BG806" i="2"/>
  <c r="AX806" i="2"/>
  <c r="BF806" i="2"/>
  <c r="BJ806" i="2" l="1"/>
  <c r="AU807" i="2" s="1"/>
  <c r="BI806" i="2"/>
  <c r="AR807" i="2" l="1"/>
  <c r="AT807" i="2"/>
  <c r="AQ807" i="2"/>
  <c r="BF807" i="2" l="1"/>
  <c r="BB807" i="2"/>
  <c r="AX807" i="2"/>
  <c r="BC807" i="2"/>
  <c r="BG807" i="2"/>
  <c r="AY807" i="2"/>
  <c r="BJ807" i="2" l="1"/>
  <c r="AU808" i="2"/>
  <c r="AR808" i="2"/>
  <c r="BI807" i="2"/>
  <c r="AQ808" i="2" l="1"/>
  <c r="AT808" i="2"/>
  <c r="BB808" i="2" l="1"/>
  <c r="BF808" i="2"/>
  <c r="AX808" i="2"/>
  <c r="BC808" i="2"/>
  <c r="BG808" i="2"/>
  <c r="AY808" i="2"/>
  <c r="BJ808" i="2" l="1"/>
  <c r="BI808" i="2"/>
  <c r="AT809" i="2" l="1"/>
  <c r="AQ809" i="2"/>
  <c r="AR809" i="2"/>
  <c r="AU809" i="2"/>
  <c r="AX809" i="2" l="1"/>
  <c r="BB809" i="2"/>
  <c r="BF809" i="2"/>
  <c r="BG809" i="2"/>
  <c r="BC809" i="2"/>
  <c r="AY809" i="2"/>
  <c r="BI809" i="2" l="1"/>
  <c r="AT810" i="2" s="1"/>
  <c r="BJ809" i="2"/>
  <c r="AQ810" i="2"/>
  <c r="AR810" i="2" l="1"/>
  <c r="AU810" i="2"/>
  <c r="BB810" i="2" l="1"/>
  <c r="BC810" i="2"/>
  <c r="AY810" i="2"/>
  <c r="BG810" i="2"/>
  <c r="AX810" i="2"/>
  <c r="BF810" i="2"/>
  <c r="BJ810" i="2" l="1"/>
  <c r="AU811" i="2" s="1"/>
  <c r="BI810" i="2"/>
  <c r="AR811" i="2" l="1"/>
  <c r="AT811" i="2"/>
  <c r="AQ811" i="2"/>
  <c r="BC811" i="2" l="1"/>
  <c r="AY811" i="2"/>
  <c r="BG811" i="2"/>
  <c r="BB811" i="2"/>
  <c r="BF811" i="2"/>
  <c r="AX811" i="2"/>
  <c r="BJ811" i="2" l="1"/>
  <c r="BI811" i="2"/>
  <c r="AQ812" i="2" s="1"/>
  <c r="AU812" i="2"/>
  <c r="AR812" i="2"/>
  <c r="AT812" i="2" l="1"/>
  <c r="BG812" i="2"/>
  <c r="BC812" i="2"/>
  <c r="BF812" i="2"/>
  <c r="BB812" i="2"/>
  <c r="AX812" i="2"/>
  <c r="AY812" i="2"/>
  <c r="BI812" i="2" l="1"/>
  <c r="AT813" i="2" s="1"/>
  <c r="BJ812" i="2"/>
  <c r="AQ813" i="2"/>
  <c r="AR813" i="2" l="1"/>
  <c r="AU813" i="2"/>
  <c r="BC813" i="2" l="1"/>
  <c r="AY813" i="2"/>
  <c r="BG813" i="2"/>
  <c r="AX813" i="2"/>
  <c r="BF813" i="2"/>
  <c r="BB813" i="2"/>
  <c r="BJ813" i="2" l="1"/>
  <c r="AU814" i="2" s="1"/>
  <c r="BI813" i="2"/>
  <c r="AR814" i="2" l="1"/>
  <c r="AT814" i="2"/>
  <c r="AQ814" i="2"/>
  <c r="BG814" i="2" l="1"/>
  <c r="BF814" i="2"/>
  <c r="BB814" i="2"/>
  <c r="AX814" i="2"/>
  <c r="AY814" i="2"/>
  <c r="BC814" i="2"/>
  <c r="BJ814" i="2" l="1"/>
  <c r="AU815" i="2" s="1"/>
  <c r="AR815" i="2"/>
  <c r="BI814" i="2"/>
  <c r="AT815" i="2" l="1"/>
  <c r="AQ815" i="2"/>
  <c r="BF815" i="2" l="1"/>
  <c r="BB815" i="2"/>
  <c r="AX815" i="2"/>
  <c r="BG815" i="2"/>
  <c r="BC815" i="2"/>
  <c r="AY815" i="2"/>
  <c r="BJ815" i="2" l="1"/>
  <c r="BI815" i="2"/>
  <c r="AT816" i="2" l="1"/>
  <c r="AQ816" i="2"/>
  <c r="AR816" i="2"/>
  <c r="AU816" i="2"/>
  <c r="BG816" i="2" l="1"/>
  <c r="BC816" i="2"/>
  <c r="AY816" i="2"/>
  <c r="AX816" i="2"/>
  <c r="BB816" i="2"/>
  <c r="BF816" i="2"/>
  <c r="BI816" i="2" l="1"/>
  <c r="AT817" i="2" s="1"/>
  <c r="AQ817" i="2"/>
  <c r="BJ816" i="2"/>
  <c r="AU817" i="2" l="1"/>
  <c r="AR817" i="2"/>
  <c r="AX817" i="2" l="1"/>
  <c r="BB817" i="2"/>
  <c r="BF817" i="2"/>
  <c r="BC817" i="2"/>
  <c r="AY817" i="2"/>
  <c r="BG817" i="2"/>
  <c r="BI817" i="2" l="1"/>
  <c r="AQ818" i="2" s="1"/>
  <c r="BJ817" i="2"/>
  <c r="AR818" i="2" s="1"/>
  <c r="AT818" i="2" l="1"/>
  <c r="BC818" i="2"/>
  <c r="AU818" i="2"/>
  <c r="BF818" i="2"/>
  <c r="AX818" i="2"/>
  <c r="BB818" i="2"/>
  <c r="BG818" i="2"/>
  <c r="AY818" i="2"/>
  <c r="BJ818" i="2" l="1"/>
  <c r="BI818" i="2"/>
  <c r="AT819" i="2" l="1"/>
  <c r="AQ819" i="2"/>
  <c r="AR819" i="2"/>
  <c r="AU819" i="2"/>
  <c r="BB819" i="2" l="1"/>
  <c r="BF819" i="2"/>
  <c r="AX819" i="2"/>
  <c r="BC819" i="2"/>
  <c r="BG819" i="2"/>
  <c r="AY819" i="2"/>
  <c r="BJ819" i="2" l="1"/>
  <c r="BI819" i="2"/>
  <c r="AT820" i="2" l="1"/>
  <c r="AQ820" i="2"/>
  <c r="AR820" i="2"/>
  <c r="AU820" i="2"/>
  <c r="AX820" i="2" l="1"/>
  <c r="BB820" i="2"/>
  <c r="BF820" i="2"/>
  <c r="AY820" i="2"/>
  <c r="BC820" i="2"/>
  <c r="BG820" i="2"/>
  <c r="BJ820" i="2" l="1"/>
  <c r="AU821" i="2" s="1"/>
  <c r="BI820" i="2"/>
  <c r="AQ821" i="2" s="1"/>
  <c r="AR821" i="2" l="1"/>
  <c r="AT821" i="2"/>
  <c r="AX821" i="2"/>
  <c r="BB821" i="2"/>
  <c r="BG821" i="2"/>
  <c r="BC821" i="2"/>
  <c r="AY821" i="2"/>
  <c r="BF821" i="2"/>
  <c r="BI821" i="2" l="1"/>
  <c r="AT822" i="2" s="1"/>
  <c r="BJ821" i="2"/>
  <c r="AQ822" i="2" l="1"/>
  <c r="AU822" i="2"/>
  <c r="AR822" i="2"/>
  <c r="BG822" i="2" l="1"/>
  <c r="AY822" i="2"/>
  <c r="BC822" i="2"/>
  <c r="BB822" i="2"/>
  <c r="AX822" i="2"/>
  <c r="BF822" i="2"/>
  <c r="BI822" i="2" l="1"/>
  <c r="AT823" i="2" s="1"/>
  <c r="BJ822" i="2"/>
  <c r="AQ823" i="2" l="1"/>
  <c r="AU823" i="2"/>
  <c r="AR823" i="2"/>
  <c r="AX823" i="2" l="1"/>
  <c r="BF823" i="2"/>
  <c r="BB823" i="2"/>
  <c r="AY823" i="2"/>
  <c r="BC823" i="2"/>
  <c r="BG823" i="2"/>
  <c r="BI823" i="2" l="1"/>
  <c r="AT824" i="2" s="1"/>
  <c r="BJ823" i="2"/>
  <c r="AQ824" i="2" l="1"/>
  <c r="AR824" i="2"/>
  <c r="AU824" i="2"/>
  <c r="BG824" i="2" l="1"/>
  <c r="AY824" i="2"/>
  <c r="BC824" i="2"/>
  <c r="BF824" i="2"/>
  <c r="BB824" i="2"/>
  <c r="AX824" i="2"/>
  <c r="BI824" i="2" l="1"/>
  <c r="BJ824" i="2"/>
  <c r="AU825" i="2" l="1"/>
  <c r="AR825" i="2"/>
  <c r="AQ825" i="2"/>
  <c r="AT825" i="2"/>
  <c r="BC825" i="2" l="1"/>
  <c r="AY825" i="2"/>
  <c r="BG825" i="2"/>
  <c r="BF825" i="2"/>
  <c r="AX825" i="2"/>
  <c r="BB825" i="2"/>
  <c r="BI825" i="2" l="1"/>
  <c r="AT826" i="2" s="1"/>
  <c r="BJ825" i="2"/>
  <c r="AU826" i="2" s="1"/>
  <c r="AQ826" i="2" l="1"/>
  <c r="AR826" i="2"/>
  <c r="BB826" i="2" l="1"/>
  <c r="BF826" i="2"/>
  <c r="AX826" i="2"/>
  <c r="BC826" i="2"/>
  <c r="AY826" i="2"/>
  <c r="BG826" i="2"/>
  <c r="BJ826" i="2" l="1"/>
  <c r="AU827" i="2" s="1"/>
  <c r="BI826" i="2"/>
  <c r="AT827" i="2" s="1"/>
  <c r="AQ827" i="2" l="1"/>
  <c r="AR827" i="2"/>
  <c r="BF827" i="2" l="1"/>
  <c r="BG827" i="2"/>
  <c r="AY827" i="2"/>
  <c r="BC827" i="2"/>
  <c r="BB827" i="2"/>
  <c r="AX827" i="2"/>
  <c r="BI827" i="2" l="1"/>
  <c r="BJ827" i="2"/>
  <c r="AU828" i="2" s="1"/>
  <c r="AR828" i="2"/>
  <c r="AT828" i="2"/>
  <c r="AQ828" i="2"/>
  <c r="BC828" i="2" l="1"/>
  <c r="BG828" i="2"/>
  <c r="AY828" i="2"/>
  <c r="BB828" i="2"/>
  <c r="BF828" i="2"/>
  <c r="AX828" i="2"/>
  <c r="BJ828" i="2" l="1"/>
  <c r="AU829" i="2" s="1"/>
  <c r="BI828" i="2"/>
  <c r="AR829" i="2" l="1"/>
  <c r="AQ829" i="2"/>
  <c r="AT829" i="2"/>
  <c r="BF829" i="2" l="1"/>
  <c r="BB829" i="2"/>
  <c r="AX829" i="2"/>
  <c r="BG829" i="2"/>
  <c r="AY829" i="2"/>
  <c r="BC829" i="2"/>
  <c r="BJ829" i="2" l="1"/>
  <c r="BI829" i="2"/>
  <c r="AT830" i="2" l="1"/>
  <c r="AQ830" i="2"/>
  <c r="AU830" i="2"/>
  <c r="AR830" i="2"/>
  <c r="BF830" i="2" l="1"/>
  <c r="BB830" i="2"/>
  <c r="AX830" i="2"/>
  <c r="BG830" i="2"/>
  <c r="AY830" i="2"/>
  <c r="BC830" i="2"/>
  <c r="BJ830" i="2" l="1"/>
  <c r="BI830" i="2"/>
  <c r="AT831" i="2" l="1"/>
  <c r="AQ831" i="2"/>
  <c r="AU831" i="2"/>
  <c r="AR831" i="2"/>
  <c r="BB831" i="2" l="1"/>
  <c r="BF831" i="2"/>
  <c r="AX831" i="2"/>
  <c r="AY831" i="2"/>
  <c r="BC831" i="2"/>
  <c r="BG831" i="2"/>
  <c r="BJ831" i="2" l="1"/>
  <c r="AU832" i="2" s="1"/>
  <c r="BI831" i="2"/>
  <c r="AR832" i="2" l="1"/>
  <c r="AT832" i="2"/>
  <c r="AQ832" i="2"/>
  <c r="BB832" i="2" l="1"/>
  <c r="AX832" i="2"/>
  <c r="BF832" i="2"/>
  <c r="BG832" i="2"/>
  <c r="AY832" i="2"/>
  <c r="BC832" i="2"/>
  <c r="BI832" i="2" l="1"/>
  <c r="AT833" i="2" s="1"/>
  <c r="BJ832" i="2"/>
  <c r="AQ833" i="2" l="1"/>
  <c r="AU833" i="2"/>
  <c r="AR833" i="2"/>
  <c r="BG833" i="2" l="1"/>
  <c r="BC833" i="2"/>
  <c r="AY833" i="2"/>
  <c r="BF833" i="2"/>
  <c r="AX833" i="2"/>
  <c r="BB833" i="2"/>
  <c r="BI833" i="2" l="1"/>
  <c r="BJ833" i="2"/>
  <c r="AR834" i="2" l="1"/>
  <c r="AU834" i="2"/>
  <c r="AT834" i="2"/>
  <c r="AQ834" i="2"/>
  <c r="BB834" i="2" l="1"/>
  <c r="BF834" i="2"/>
  <c r="AX834" i="2"/>
  <c r="BG834" i="2"/>
  <c r="AY834" i="2"/>
  <c r="BC834" i="2"/>
  <c r="BI834" i="2" l="1"/>
  <c r="AT835" i="2" s="1"/>
  <c r="BJ834" i="2"/>
  <c r="AU835" i="2" s="1"/>
  <c r="AQ835" i="2" l="1"/>
  <c r="AR835" i="2"/>
  <c r="AX835" i="2" l="1"/>
  <c r="BF835" i="2"/>
  <c r="AY835" i="2"/>
  <c r="BB835" i="2"/>
  <c r="BI835" i="2" s="1"/>
  <c r="BC835" i="2"/>
  <c r="BG835" i="2"/>
  <c r="BJ835" i="2" l="1"/>
  <c r="AU836" i="2"/>
  <c r="AR836" i="2"/>
  <c r="AT836" i="2"/>
  <c r="AQ836" i="2"/>
  <c r="BF836" i="2" l="1"/>
  <c r="BB836" i="2"/>
  <c r="AX836" i="2"/>
  <c r="AY836" i="2"/>
  <c r="BC836" i="2"/>
  <c r="BG836" i="2"/>
  <c r="BJ836" i="2" l="1"/>
  <c r="BI836" i="2"/>
  <c r="AT837" i="2" l="1"/>
  <c r="AQ837" i="2"/>
  <c r="AU837" i="2"/>
  <c r="AR837" i="2"/>
  <c r="AY837" i="2" l="1"/>
  <c r="BB837" i="2"/>
  <c r="AX837" i="2"/>
  <c r="BF837" i="2"/>
  <c r="BC837" i="2"/>
  <c r="BG837" i="2"/>
  <c r="BI837" i="2" l="1"/>
  <c r="AT838" i="2" s="1"/>
  <c r="BJ837" i="2"/>
  <c r="AU838" i="2" s="1"/>
  <c r="AR838" i="2" l="1"/>
  <c r="AQ838" i="2"/>
  <c r="BF838" i="2" l="1"/>
  <c r="AY838" i="2"/>
  <c r="BC838" i="2"/>
  <c r="BB838" i="2"/>
  <c r="BG838" i="2"/>
  <c r="AX838" i="2"/>
  <c r="BJ838" i="2" l="1"/>
  <c r="AU839" i="2" s="1"/>
  <c r="BI838" i="2"/>
  <c r="AR839" i="2" l="1"/>
  <c r="AT839" i="2"/>
  <c r="AQ839" i="2"/>
  <c r="AY839" i="2" l="1"/>
  <c r="AX839" i="2"/>
  <c r="BB839" i="2"/>
  <c r="BG839" i="2"/>
  <c r="BC839" i="2"/>
  <c r="BF839" i="2"/>
  <c r="BI839" i="2" l="1"/>
  <c r="BJ839" i="2"/>
  <c r="AU840" i="2" s="1"/>
  <c r="AQ840" i="2"/>
  <c r="AT840" i="2"/>
  <c r="AR840" i="2" l="1"/>
  <c r="BB840" i="2" s="1"/>
  <c r="BF840" i="2" l="1"/>
  <c r="AX840" i="2"/>
  <c r="BC840" i="2"/>
  <c r="AY840" i="2"/>
  <c r="BG840" i="2"/>
  <c r="BI840" i="2" l="1"/>
  <c r="AQ841" i="2" s="1"/>
  <c r="BJ840" i="2"/>
  <c r="AT841" i="2" l="1"/>
  <c r="AU841" i="2"/>
  <c r="AR841" i="2"/>
  <c r="BB841" i="2" l="1"/>
  <c r="AY841" i="2"/>
  <c r="BG841" i="2"/>
  <c r="BF841" i="2"/>
  <c r="BC841" i="2"/>
  <c r="AX841" i="2"/>
  <c r="BI841" i="2" l="1"/>
  <c r="AT842" i="2" s="1"/>
  <c r="AQ842" i="2"/>
  <c r="BJ841" i="2"/>
  <c r="AU842" i="2" l="1"/>
  <c r="AR842" i="2"/>
  <c r="AY842" i="2" l="1"/>
  <c r="BG842" i="2"/>
  <c r="BF842" i="2"/>
  <c r="BB842" i="2"/>
  <c r="BC842" i="2"/>
  <c r="AX842" i="2"/>
  <c r="BJ842" i="2" l="1"/>
  <c r="AR843" i="2" s="1"/>
  <c r="BI842" i="2"/>
  <c r="AU843" i="2" l="1"/>
  <c r="AT843" i="2"/>
  <c r="AQ843" i="2"/>
  <c r="AY843" i="2" l="1"/>
  <c r="BF843" i="2"/>
  <c r="AX843" i="2"/>
  <c r="BG843" i="2"/>
  <c r="BB843" i="2"/>
  <c r="BC843" i="2"/>
  <c r="BJ843" i="2" l="1"/>
  <c r="BI843" i="2"/>
  <c r="AQ844" i="2" l="1"/>
  <c r="AT844" i="2"/>
  <c r="AR844" i="2"/>
  <c r="AU844" i="2"/>
  <c r="BC844" i="2" l="1"/>
  <c r="BG844" i="2"/>
  <c r="AY844" i="2"/>
  <c r="BB844" i="2"/>
  <c r="BF844" i="2"/>
  <c r="AX844" i="2"/>
  <c r="BI844" i="2" l="1"/>
  <c r="BJ844" i="2"/>
  <c r="AR845" i="2" l="1"/>
  <c r="AU845" i="2"/>
  <c r="AT845" i="2"/>
  <c r="AQ845" i="2"/>
  <c r="AX845" i="2" l="1"/>
  <c r="BF845" i="2"/>
  <c r="BB845" i="2"/>
  <c r="BG845" i="2"/>
  <c r="AY845" i="2"/>
  <c r="BC845" i="2"/>
  <c r="BJ845" i="2" l="1"/>
  <c r="BI845" i="2"/>
  <c r="AR846" i="2"/>
  <c r="AU846" i="2"/>
  <c r="AT846" i="2" l="1"/>
  <c r="AQ846" i="2"/>
  <c r="BC846" i="2" l="1"/>
  <c r="AX846" i="2"/>
  <c r="BB846" i="2"/>
  <c r="BF846" i="2"/>
  <c r="BG846" i="2"/>
  <c r="AY846" i="2"/>
  <c r="BI846" i="2" l="1"/>
  <c r="AT847" i="2" s="1"/>
  <c r="BJ846" i="2"/>
  <c r="AQ847" i="2" l="1"/>
  <c r="AU847" i="2"/>
  <c r="AR847" i="2"/>
  <c r="BG847" i="2" l="1"/>
  <c r="BC847" i="2"/>
  <c r="AX847" i="2"/>
  <c r="BB847" i="2"/>
  <c r="BF847" i="2"/>
  <c r="AY847" i="2"/>
  <c r="BI847" i="2" l="1"/>
  <c r="AT848" i="2"/>
  <c r="AQ848" i="2"/>
  <c r="BJ847" i="2"/>
  <c r="AU848" i="2" l="1"/>
  <c r="AR848" i="2"/>
  <c r="AX848" i="2" l="1"/>
  <c r="BB848" i="2"/>
  <c r="BG848" i="2"/>
  <c r="AY848" i="2"/>
  <c r="BC848" i="2"/>
  <c r="BF848" i="2"/>
  <c r="BI848" i="2" s="1"/>
  <c r="AT849" i="2" l="1"/>
  <c r="AQ849" i="2"/>
  <c r="BJ848" i="2"/>
  <c r="AU849" i="2" l="1"/>
  <c r="AR849" i="2"/>
  <c r="AX849" i="2" l="1"/>
  <c r="BB849" i="2"/>
  <c r="AY849" i="2"/>
  <c r="BG849" i="2"/>
  <c r="BC849" i="2"/>
  <c r="BF849" i="2"/>
  <c r="BI849" i="2" l="1"/>
  <c r="AT850" i="2" s="1"/>
  <c r="BJ849" i="2"/>
  <c r="AQ850" i="2" l="1"/>
  <c r="AU850" i="2"/>
  <c r="AR850" i="2"/>
  <c r="BF850" i="2" l="1"/>
  <c r="BG850" i="2"/>
  <c r="AY850" i="2"/>
  <c r="BC850" i="2"/>
  <c r="BB850" i="2"/>
  <c r="AX850" i="2"/>
  <c r="BI850" i="2" l="1"/>
  <c r="AT851" i="2" s="1"/>
  <c r="BJ850" i="2"/>
  <c r="AQ851" i="2" l="1"/>
  <c r="AU851" i="2"/>
  <c r="AR851" i="2"/>
  <c r="BF851" i="2"/>
  <c r="AX851" i="2" l="1"/>
  <c r="BB851" i="2"/>
  <c r="AY851" i="2"/>
  <c r="BG851" i="2"/>
  <c r="BC851" i="2"/>
  <c r="BI851" i="2" l="1"/>
  <c r="AQ852" i="2" s="1"/>
  <c r="BJ851" i="2"/>
  <c r="AR852" i="2" s="1"/>
  <c r="AT852" i="2" l="1"/>
  <c r="AU852" i="2"/>
  <c r="BB852" i="2"/>
  <c r="BC852" i="2"/>
  <c r="AY852" i="2"/>
  <c r="BG852" i="2"/>
  <c r="AX852" i="2"/>
  <c r="BF852" i="2"/>
  <c r="BI852" i="2" l="1"/>
  <c r="BJ852" i="2"/>
  <c r="AR853" i="2" s="1"/>
  <c r="AQ853" i="2"/>
  <c r="AT853" i="2"/>
  <c r="AU853" i="2" l="1"/>
  <c r="AX853" i="2"/>
  <c r="BG853" i="2"/>
  <c r="BF853" i="2"/>
  <c r="BC853" i="2"/>
  <c r="AY853" i="2"/>
  <c r="BB853" i="2"/>
  <c r="BI853" i="2" l="1"/>
  <c r="AQ854" i="2" s="1"/>
  <c r="BJ853" i="2"/>
  <c r="AU854" i="2" s="1"/>
  <c r="AT854" i="2"/>
  <c r="AR854" i="2" l="1"/>
  <c r="BC854" i="2" s="1"/>
  <c r="AY854" i="2" l="1"/>
  <c r="AX854" i="2"/>
  <c r="BF854" i="2"/>
  <c r="BB854" i="2"/>
  <c r="BG854" i="2"/>
  <c r="BJ854" i="2" l="1"/>
  <c r="AU855" i="2" s="1"/>
  <c r="AR855" i="2"/>
  <c r="BI854" i="2"/>
  <c r="AT855" i="2" l="1"/>
  <c r="AQ855" i="2"/>
  <c r="BC855" i="2" l="1"/>
  <c r="AX855" i="2"/>
  <c r="AY855" i="2"/>
  <c r="BF855" i="2"/>
  <c r="BB855" i="2"/>
  <c r="BG855" i="2"/>
  <c r="BI855" i="2" l="1"/>
  <c r="BJ855" i="2"/>
  <c r="AU856" i="2" l="1"/>
  <c r="AR856" i="2"/>
  <c r="AQ856" i="2"/>
  <c r="AT856" i="2"/>
  <c r="BB856" i="2" l="1"/>
  <c r="BF856" i="2"/>
  <c r="AX856" i="2"/>
  <c r="BG856" i="2"/>
  <c r="AY856" i="2"/>
  <c r="BC856" i="2"/>
  <c r="BJ856" i="2" l="1"/>
  <c r="AU857" i="2"/>
  <c r="AR857" i="2"/>
  <c r="BI856" i="2"/>
  <c r="AT857" i="2" l="1"/>
  <c r="AQ857" i="2"/>
  <c r="BC857" i="2" s="1"/>
  <c r="BG857" i="2"/>
  <c r="BB857" i="2" l="1"/>
  <c r="AX857" i="2"/>
  <c r="BF857" i="2"/>
  <c r="AY857" i="2"/>
  <c r="BJ857" i="2" s="1"/>
  <c r="BI857" i="2" l="1"/>
  <c r="AQ858" i="2" s="1"/>
  <c r="AR858" i="2"/>
  <c r="AU858" i="2"/>
  <c r="AT858" i="2" l="1"/>
  <c r="AX858" i="2"/>
  <c r="BB858" i="2"/>
  <c r="BF858" i="2"/>
  <c r="BG858" i="2"/>
  <c r="BC858" i="2"/>
  <c r="AY858" i="2"/>
  <c r="BI858" i="2" l="1"/>
  <c r="BJ858" i="2"/>
  <c r="AT859" i="2"/>
  <c r="AQ859" i="2"/>
  <c r="AR859" i="2" l="1"/>
  <c r="AU859" i="2"/>
  <c r="BB859" i="2" l="1"/>
  <c r="BG859" i="2"/>
  <c r="BF859" i="2"/>
  <c r="BC859" i="2"/>
  <c r="AY859" i="2"/>
  <c r="AX859" i="2"/>
  <c r="BJ859" i="2" l="1"/>
  <c r="BI859" i="2"/>
  <c r="AT860" i="2" l="1"/>
  <c r="AQ860" i="2"/>
  <c r="AR860" i="2"/>
  <c r="AU860" i="2"/>
  <c r="BG860" i="2" l="1"/>
  <c r="BC860" i="2"/>
  <c r="AY860" i="2"/>
  <c r="BB860" i="2"/>
  <c r="BF860" i="2"/>
  <c r="AX860" i="2"/>
  <c r="BI860" i="2" l="1"/>
  <c r="BJ860" i="2"/>
  <c r="AU861" i="2" l="1"/>
  <c r="AR861" i="2"/>
  <c r="AQ861" i="2"/>
  <c r="AT861" i="2"/>
  <c r="BF861" i="2" l="1"/>
  <c r="BB861" i="2"/>
  <c r="AX861" i="2"/>
  <c r="BC861" i="2"/>
  <c r="BG861" i="2"/>
  <c r="AY861" i="2"/>
  <c r="BJ861" i="2" l="1"/>
  <c r="AR862" i="2" s="1"/>
  <c r="BI861" i="2"/>
  <c r="AU862" i="2" l="1"/>
  <c r="AQ862" i="2"/>
  <c r="AT862" i="2"/>
  <c r="AY862" i="2" l="1"/>
  <c r="BG862" i="2"/>
  <c r="AX862" i="2"/>
  <c r="BC862" i="2"/>
  <c r="BB862" i="2"/>
  <c r="BF862" i="2"/>
  <c r="BI862" i="2" l="1"/>
  <c r="BJ862" i="2"/>
  <c r="AU863" i="2" l="1"/>
  <c r="AR863" i="2"/>
  <c r="AQ863" i="2"/>
  <c r="AT863" i="2"/>
  <c r="BF863" i="2" l="1"/>
  <c r="AX863" i="2"/>
  <c r="BB863" i="2"/>
  <c r="BC863" i="2"/>
  <c r="BG863" i="2"/>
  <c r="AY863" i="2"/>
  <c r="BJ863" i="2" l="1"/>
  <c r="AU864" i="2" s="1"/>
  <c r="AR864" i="2"/>
  <c r="BI863" i="2"/>
  <c r="AT864" i="2" l="1"/>
  <c r="AQ864" i="2"/>
  <c r="AX864" i="2" l="1"/>
  <c r="BB864" i="2"/>
  <c r="BF864" i="2"/>
  <c r="AY864" i="2"/>
  <c r="BC864" i="2"/>
  <c r="BG864" i="2"/>
  <c r="BJ864" i="2" l="1"/>
  <c r="AU865" i="2" s="1"/>
  <c r="BI864" i="2"/>
  <c r="AR865" i="2"/>
  <c r="AT865" i="2"/>
  <c r="AQ865" i="2"/>
  <c r="BB865" i="2" s="1"/>
  <c r="BG865" i="2" l="1"/>
  <c r="BC865" i="2"/>
  <c r="BF865" i="2"/>
  <c r="AX865" i="2"/>
  <c r="AY865" i="2"/>
  <c r="BJ865" i="2" l="1"/>
  <c r="BI865" i="2"/>
  <c r="AT866" i="2"/>
  <c r="AQ866" i="2"/>
  <c r="AU866" i="2"/>
  <c r="AR866" i="2"/>
  <c r="BF866" i="2" s="1"/>
  <c r="BB866" i="2" l="1"/>
  <c r="AY866" i="2"/>
  <c r="AX866" i="2"/>
  <c r="BC866" i="2"/>
  <c r="BG866" i="2"/>
  <c r="BI866" i="2"/>
  <c r="BJ866" i="2" l="1"/>
  <c r="AT867" i="2"/>
  <c r="AQ867" i="2"/>
  <c r="AU867" i="2"/>
  <c r="AR867" i="2"/>
  <c r="BB867" i="2" l="1"/>
  <c r="BF867" i="2"/>
  <c r="AX867" i="2"/>
  <c r="AY867" i="2"/>
  <c r="BC867" i="2"/>
  <c r="BG867" i="2"/>
  <c r="BJ867" i="2" l="1"/>
  <c r="AU868" i="2" s="1"/>
  <c r="BI867" i="2"/>
  <c r="AR868" i="2" l="1"/>
  <c r="AT868" i="2"/>
  <c r="AQ868" i="2"/>
  <c r="BC868" i="2" l="1"/>
  <c r="BG868" i="2"/>
  <c r="BF868" i="2"/>
  <c r="AX868" i="2"/>
  <c r="BB868" i="2"/>
  <c r="AY868" i="2"/>
  <c r="BJ868" i="2" l="1"/>
  <c r="AU869" i="2" s="1"/>
  <c r="BI868" i="2"/>
  <c r="AR869" i="2" l="1"/>
  <c r="AQ869" i="2"/>
  <c r="BG869" i="2" s="1"/>
  <c r="AT869" i="2"/>
  <c r="BC869" i="2" l="1"/>
  <c r="AY869" i="2"/>
  <c r="BB869" i="2"/>
  <c r="AX869" i="2"/>
  <c r="BF869" i="2"/>
  <c r="BJ869" i="2" l="1"/>
  <c r="BI869" i="2"/>
  <c r="AT870" i="2" s="1"/>
  <c r="AR870" i="2"/>
  <c r="AU870" i="2"/>
  <c r="AQ870" i="2" l="1"/>
  <c r="AY870" i="2" l="1"/>
  <c r="BB870" i="2"/>
  <c r="AX870" i="2"/>
  <c r="BF870" i="2"/>
  <c r="BC870" i="2"/>
  <c r="BG870" i="2"/>
  <c r="BI870" i="2" l="1"/>
  <c r="AT871" i="2"/>
  <c r="AQ871" i="2"/>
  <c r="BJ870" i="2"/>
  <c r="AR871" i="2" s="1"/>
  <c r="AU871" i="2" l="1"/>
  <c r="AX871" i="2"/>
  <c r="BB871" i="2"/>
  <c r="BF871" i="2"/>
  <c r="BC871" i="2"/>
  <c r="BG871" i="2"/>
  <c r="AY871" i="2"/>
  <c r="BI871" i="2" l="1"/>
  <c r="AT872" i="2" s="1"/>
  <c r="BJ871" i="2"/>
  <c r="AU872" i="2" s="1"/>
  <c r="AQ872" i="2" l="1"/>
  <c r="AR872" i="2"/>
  <c r="BC872" i="2" l="1"/>
  <c r="AY872" i="2"/>
  <c r="BG872" i="2"/>
  <c r="BF872" i="2"/>
  <c r="AX872" i="2"/>
  <c r="BB872" i="2"/>
  <c r="BJ872" i="2" l="1"/>
  <c r="AU873" i="2" s="1"/>
  <c r="BI872" i="2"/>
  <c r="AT873" i="2" s="1"/>
  <c r="AR873" i="2" l="1"/>
  <c r="AQ873" i="2"/>
  <c r="AY873" i="2" s="1"/>
  <c r="BF873" i="2"/>
  <c r="BG873" i="2"/>
  <c r="BB873" i="2" l="1"/>
  <c r="AX873" i="2"/>
  <c r="BC873" i="2"/>
  <c r="BJ873" i="2" s="1"/>
  <c r="AU874" i="2" s="1"/>
  <c r="BI873" i="2"/>
  <c r="AR874" i="2" l="1"/>
  <c r="AQ874" i="2"/>
  <c r="AT874" i="2"/>
  <c r="AY874" i="2" l="1"/>
  <c r="BB874" i="2"/>
  <c r="BC874" i="2"/>
  <c r="AX874" i="2"/>
  <c r="BF874" i="2"/>
  <c r="BG874" i="2"/>
  <c r="BJ874" i="2" s="1"/>
  <c r="BI874" i="2" l="1"/>
  <c r="AR875" i="2"/>
  <c r="AU875" i="2"/>
  <c r="AT875" i="2"/>
  <c r="AQ875" i="2"/>
  <c r="BC875" i="2" l="1"/>
  <c r="BB875" i="2"/>
  <c r="AX875" i="2"/>
  <c r="BF875" i="2"/>
  <c r="BG875" i="2"/>
  <c r="AY875" i="2"/>
  <c r="BI875" i="2" l="1"/>
  <c r="AT876" i="2" s="1"/>
  <c r="BJ875" i="2"/>
  <c r="AU876" i="2" s="1"/>
  <c r="AQ876" i="2" l="1"/>
  <c r="AR876" i="2"/>
  <c r="BF876" i="2" l="1"/>
  <c r="BG876" i="2"/>
  <c r="BB876" i="2"/>
  <c r="AY876" i="2"/>
  <c r="BC876" i="2"/>
  <c r="AX876" i="2"/>
  <c r="BI876" i="2" l="1"/>
  <c r="BJ876" i="2"/>
  <c r="AU877" i="2" s="1"/>
  <c r="AT877" i="2"/>
  <c r="AQ877" i="2"/>
  <c r="AR877" i="2" l="1"/>
  <c r="BB877" i="2"/>
  <c r="AX877" i="2"/>
  <c r="BF877" i="2"/>
  <c r="AY877" i="2"/>
  <c r="BC877" i="2" l="1"/>
  <c r="BG877" i="2"/>
  <c r="BJ877" i="2" s="1"/>
  <c r="BI877" i="2"/>
  <c r="AT878" i="2" s="1"/>
  <c r="AQ878" i="2" l="1"/>
  <c r="AU878" i="2"/>
  <c r="AR878" i="2"/>
  <c r="BF878" i="2" l="1"/>
  <c r="AX878" i="2"/>
  <c r="BB878" i="2"/>
  <c r="AY878" i="2"/>
  <c r="BG878" i="2"/>
  <c r="BC878" i="2"/>
  <c r="BI878" i="2" l="1"/>
  <c r="AQ879" i="2" s="1"/>
  <c r="BJ878" i="2"/>
  <c r="AT879" i="2" l="1"/>
  <c r="AU879" i="2"/>
  <c r="AR879" i="2"/>
  <c r="BG879" i="2" l="1"/>
  <c r="AY879" i="2"/>
  <c r="BC879" i="2"/>
  <c r="BB879" i="2"/>
  <c r="AX879" i="2"/>
  <c r="BF879" i="2"/>
  <c r="BI879" i="2" l="1"/>
  <c r="BJ879" i="2"/>
  <c r="AU880" i="2" l="1"/>
  <c r="AR880" i="2"/>
  <c r="AT880" i="2"/>
  <c r="AQ880" i="2"/>
  <c r="AY880" i="2" l="1"/>
  <c r="BG880" i="2"/>
  <c r="BC880" i="2"/>
  <c r="AX880" i="2"/>
  <c r="BB880" i="2"/>
  <c r="BF880" i="2"/>
  <c r="BI880" i="2" l="1"/>
  <c r="AT881" i="2" s="1"/>
  <c r="BJ880" i="2"/>
  <c r="AQ881" i="2" l="1"/>
  <c r="AU881" i="2"/>
  <c r="AR881" i="2"/>
  <c r="BF881" i="2" l="1"/>
  <c r="AX881" i="2"/>
  <c r="BG881" i="2"/>
  <c r="AY881" i="2"/>
  <c r="BC881" i="2"/>
  <c r="BB881" i="2"/>
  <c r="BI881" i="2" l="1"/>
  <c r="AT882" i="2" s="1"/>
  <c r="BJ881" i="2"/>
  <c r="AQ882" i="2" l="1"/>
  <c r="AR882" i="2"/>
  <c r="AU882" i="2"/>
  <c r="BB882" i="2" l="1"/>
  <c r="BF882" i="2"/>
  <c r="BG882" i="2"/>
  <c r="AY882" i="2"/>
  <c r="BC882" i="2"/>
  <c r="AX882" i="2"/>
  <c r="BJ882" i="2" l="1"/>
  <c r="BI882" i="2"/>
  <c r="AQ883" i="2" l="1"/>
  <c r="AT883" i="2"/>
  <c r="AR883" i="2"/>
  <c r="AU883" i="2"/>
  <c r="BC883" i="2" l="1"/>
  <c r="AY883" i="2"/>
  <c r="BG883" i="2"/>
  <c r="AX883" i="2"/>
  <c r="BB883" i="2"/>
  <c r="BF883" i="2"/>
  <c r="BJ883" i="2" l="1"/>
  <c r="AU884" i="2" s="1"/>
  <c r="BI883" i="2"/>
  <c r="AR884" i="2" l="1"/>
  <c r="AQ884" i="2"/>
  <c r="AT884" i="2"/>
  <c r="BG884" i="2" l="1"/>
  <c r="AX884" i="2"/>
  <c r="BB884" i="2"/>
  <c r="BF884" i="2"/>
  <c r="BC884" i="2"/>
  <c r="AY884" i="2"/>
  <c r="BJ884" i="2" l="1"/>
  <c r="BI884" i="2"/>
  <c r="AT885" i="2" s="1"/>
  <c r="AR885" i="2"/>
  <c r="AU885" i="2"/>
  <c r="AQ885" i="2"/>
  <c r="BF885" i="2" l="1"/>
  <c r="BB885" i="2"/>
  <c r="AX885" i="2"/>
  <c r="BC885" i="2"/>
  <c r="AY885" i="2"/>
  <c r="BG885" i="2"/>
  <c r="BJ885" i="2" l="1"/>
  <c r="AR886" i="2" s="1"/>
  <c r="BI885" i="2"/>
  <c r="AU886" i="2" l="1"/>
  <c r="AT886" i="2"/>
  <c r="AQ886" i="2"/>
  <c r="BF886" i="2" l="1"/>
  <c r="BB886" i="2"/>
  <c r="AX886" i="2"/>
  <c r="AY886" i="2"/>
  <c r="BC886" i="2"/>
  <c r="BG886" i="2"/>
  <c r="BJ886" i="2" l="1"/>
  <c r="AU887" i="2" s="1"/>
  <c r="BI886" i="2"/>
  <c r="AR887" i="2" l="1"/>
  <c r="AQ887" i="2"/>
  <c r="AT887" i="2"/>
  <c r="BB887" i="2" l="1"/>
  <c r="AX887" i="2"/>
  <c r="BF887" i="2"/>
  <c r="BC887" i="2"/>
  <c r="BG887" i="2"/>
  <c r="AY887" i="2"/>
  <c r="BI887" i="2" l="1"/>
  <c r="AQ888" i="2" s="1"/>
  <c r="BJ887" i="2"/>
  <c r="AR888" i="2" s="1"/>
  <c r="AT888" i="2" l="1"/>
  <c r="AU888" i="2"/>
  <c r="BC888" i="2"/>
  <c r="BG888" i="2"/>
  <c r="AY888" i="2"/>
  <c r="BF888" i="2"/>
  <c r="BB888" i="2"/>
  <c r="AX888" i="2"/>
  <c r="BI888" i="2" l="1"/>
  <c r="AT889" i="2" s="1"/>
  <c r="BJ888" i="2"/>
  <c r="AQ889" i="2" l="1"/>
  <c r="AR889" i="2"/>
  <c r="AU889" i="2"/>
  <c r="BB889" i="2" l="1"/>
  <c r="BF889" i="2"/>
  <c r="AX889" i="2"/>
  <c r="AY889" i="2"/>
  <c r="BG889" i="2"/>
  <c r="BC889" i="2"/>
  <c r="BI889" i="2" l="1"/>
  <c r="AQ890" i="2" s="1"/>
  <c r="BJ889" i="2"/>
  <c r="AR890" i="2" s="1"/>
  <c r="AT890" i="2" l="1"/>
  <c r="AU890" i="2"/>
  <c r="AX890" i="2"/>
  <c r="BF890" i="2"/>
  <c r="BB890" i="2"/>
  <c r="AY890" i="2"/>
  <c r="BG890" i="2"/>
  <c r="BC890" i="2"/>
  <c r="BI890" i="2" l="1"/>
  <c r="BJ890" i="2"/>
  <c r="AU891" i="2" l="1"/>
  <c r="AR891" i="2"/>
  <c r="AQ891" i="2"/>
  <c r="AT891" i="2"/>
  <c r="BB891" i="2" l="1"/>
  <c r="BF891" i="2"/>
  <c r="AX891" i="2"/>
  <c r="BG891" i="2"/>
  <c r="AY891" i="2"/>
  <c r="BC891" i="2"/>
  <c r="BJ891" i="2" l="1"/>
  <c r="BI891" i="2"/>
  <c r="AT892" i="2" l="1"/>
  <c r="AQ892" i="2"/>
  <c r="AR892" i="2"/>
  <c r="AU892" i="2"/>
  <c r="BF892" i="2" l="1"/>
  <c r="BB892" i="2"/>
  <c r="AX892" i="2"/>
  <c r="BG892" i="2"/>
  <c r="AY892" i="2"/>
  <c r="BC892" i="2"/>
  <c r="BJ892" i="2" l="1"/>
  <c r="BI892" i="2"/>
  <c r="AT893" i="2" l="1"/>
  <c r="AQ893" i="2"/>
  <c r="AU893" i="2"/>
  <c r="AR893" i="2"/>
  <c r="BC893" i="2" l="1"/>
  <c r="AY893" i="2"/>
  <c r="BG893" i="2"/>
  <c r="BB893" i="2"/>
  <c r="AX893" i="2"/>
  <c r="BF893" i="2"/>
  <c r="BI893" i="2" l="1"/>
  <c r="AQ894" i="2" s="1"/>
  <c r="BJ893" i="2"/>
  <c r="AU894" i="2" s="1"/>
  <c r="AT894" i="2"/>
  <c r="AR894" i="2" l="1"/>
  <c r="BG894" i="2" l="1"/>
  <c r="BB894" i="2"/>
  <c r="BF894" i="2"/>
  <c r="AX894" i="2"/>
  <c r="BC894" i="2"/>
  <c r="AY894" i="2"/>
  <c r="BI894" i="2" l="1"/>
  <c r="AT895" i="2" s="1"/>
  <c r="BJ894" i="2"/>
  <c r="AR895" i="2" s="1"/>
  <c r="AQ895" i="2" l="1"/>
  <c r="BF895" i="2" s="1"/>
  <c r="AU895" i="2"/>
  <c r="BC895" i="2" l="1"/>
  <c r="AX895" i="2"/>
  <c r="BB895" i="2"/>
  <c r="AY895" i="2"/>
  <c r="BG895" i="2"/>
  <c r="BJ895" i="2" l="1"/>
  <c r="BI895" i="2"/>
  <c r="AR896" i="2"/>
  <c r="AU896" i="2"/>
  <c r="AQ896" i="2" l="1"/>
  <c r="BF896" i="2" s="1"/>
  <c r="AT896" i="2"/>
  <c r="BG896" i="2" l="1"/>
  <c r="AY896" i="2"/>
  <c r="AX896" i="2"/>
  <c r="BC896" i="2"/>
  <c r="BJ896" i="2" s="1"/>
  <c r="AU897" i="2" s="1"/>
  <c r="BB896" i="2"/>
  <c r="BI896" i="2" s="1"/>
  <c r="AQ897" i="2" l="1"/>
  <c r="AT897" i="2"/>
  <c r="AR897" i="2"/>
  <c r="BG897" i="2" l="1"/>
  <c r="AX897" i="2"/>
  <c r="BC897" i="2"/>
  <c r="AY897" i="2"/>
  <c r="BB897" i="2"/>
  <c r="BF897" i="2"/>
  <c r="BJ897" i="2" l="1"/>
  <c r="BI897" i="2"/>
  <c r="AT898" i="2"/>
  <c r="AQ898" i="2"/>
  <c r="AU898" i="2"/>
  <c r="AR898" i="2"/>
  <c r="BB898" i="2" l="1"/>
  <c r="BF898" i="2"/>
  <c r="AX898" i="2"/>
  <c r="BC898" i="2"/>
  <c r="AY898" i="2"/>
  <c r="BG898" i="2"/>
  <c r="BJ898" i="2" l="1"/>
  <c r="BI898" i="2"/>
  <c r="AT899" i="2" l="1"/>
  <c r="AQ899" i="2"/>
  <c r="AR899" i="2"/>
  <c r="AU899" i="2"/>
  <c r="BB899" i="2" l="1"/>
  <c r="BF899" i="2"/>
  <c r="AX899" i="2"/>
  <c r="BC899" i="2"/>
  <c r="AY899" i="2"/>
  <c r="BG899" i="2"/>
  <c r="BJ899" i="2" l="1"/>
  <c r="AU900" i="2" s="1"/>
  <c r="BI899" i="2"/>
  <c r="AR900" i="2" l="1"/>
  <c r="AT900" i="2"/>
  <c r="AQ900" i="2"/>
  <c r="BF900" i="2" l="1"/>
  <c r="AX900" i="2"/>
  <c r="BB900" i="2"/>
  <c r="BG900" i="2"/>
  <c r="BC900" i="2"/>
  <c r="AY900" i="2"/>
  <c r="BJ900" i="2" l="1"/>
  <c r="AU901" i="2"/>
  <c r="AR901" i="2"/>
  <c r="BI900" i="2"/>
  <c r="AQ901" i="2" l="1"/>
  <c r="BG901" i="2" s="1"/>
  <c r="AT901" i="2"/>
  <c r="AY901" i="2" l="1"/>
  <c r="BC901" i="2"/>
  <c r="AX901" i="2"/>
  <c r="BB901" i="2"/>
  <c r="BF901" i="2"/>
  <c r="BJ901" i="2" l="1"/>
  <c r="BI901" i="2"/>
  <c r="AT902" i="2" s="1"/>
  <c r="AU902" i="2"/>
  <c r="AR902" i="2"/>
  <c r="AQ902" i="2" l="1"/>
  <c r="BC902" i="2"/>
  <c r="BG902" i="2"/>
  <c r="AY902" i="2"/>
  <c r="BF902" i="2"/>
  <c r="BB902" i="2"/>
  <c r="AX902" i="2"/>
  <c r="BI902" i="2" l="1"/>
  <c r="BJ902" i="2"/>
  <c r="AR903" i="2" l="1"/>
  <c r="AU903" i="2"/>
  <c r="AT903" i="2"/>
  <c r="AQ903" i="2"/>
  <c r="BB903" i="2" l="1"/>
  <c r="AX903" i="2"/>
  <c r="BF903" i="2"/>
  <c r="BC903" i="2"/>
  <c r="BG903" i="2"/>
  <c r="AY903" i="2"/>
  <c r="BI903" i="2" l="1"/>
  <c r="AT904" i="2" s="1"/>
  <c r="BJ903" i="2"/>
  <c r="AQ904" i="2" l="1"/>
  <c r="AU904" i="2"/>
  <c r="AR904" i="2"/>
  <c r="AX904" i="2" l="1"/>
  <c r="BF904" i="2"/>
  <c r="BC904" i="2"/>
  <c r="AY904" i="2"/>
  <c r="BG904" i="2"/>
  <c r="BB904" i="2"/>
  <c r="BJ904" i="2" l="1"/>
  <c r="BI904" i="2"/>
  <c r="AT905" i="2" l="1"/>
  <c r="AQ905" i="2"/>
  <c r="AU905" i="2"/>
  <c r="AR905" i="2"/>
  <c r="BG905" i="2" l="1"/>
  <c r="AY905" i="2"/>
  <c r="BC905" i="2"/>
  <c r="BB905" i="2"/>
  <c r="AX905" i="2"/>
  <c r="BF905" i="2"/>
  <c r="BI905" i="2" l="1"/>
  <c r="AT906" i="2" s="1"/>
  <c r="BJ905" i="2"/>
  <c r="AQ906" i="2" l="1"/>
  <c r="AU906" i="2"/>
  <c r="AR906" i="2"/>
  <c r="BB906" i="2" l="1"/>
  <c r="AX906" i="2"/>
  <c r="BC906" i="2"/>
  <c r="BG906" i="2"/>
  <c r="AY906" i="2"/>
  <c r="BF906" i="2"/>
  <c r="BI906" i="2" s="1"/>
  <c r="BJ906" i="2" l="1"/>
  <c r="AR907" i="2" s="1"/>
  <c r="AT907" i="2"/>
  <c r="AQ907" i="2"/>
  <c r="BC907" i="2" l="1"/>
  <c r="AU907" i="2"/>
  <c r="AX907" i="2"/>
  <c r="BB907" i="2"/>
  <c r="BF907" i="2"/>
  <c r="AY907" i="2"/>
  <c r="BG907" i="2"/>
  <c r="BJ907" i="2" l="1"/>
  <c r="BI907" i="2"/>
  <c r="AR908" i="2"/>
  <c r="AU908" i="2"/>
  <c r="AT908" i="2" l="1"/>
  <c r="AQ908" i="2"/>
  <c r="BC908" i="2" l="1"/>
  <c r="BB908" i="2"/>
  <c r="BF908" i="2"/>
  <c r="AX908" i="2"/>
  <c r="AY908" i="2"/>
  <c r="BG908" i="2"/>
  <c r="BJ908" i="2" l="1"/>
  <c r="AU909" i="2" s="1"/>
  <c r="BI908" i="2"/>
  <c r="AT909" i="2" s="1"/>
  <c r="AQ909" i="2" l="1"/>
  <c r="AR909" i="2"/>
  <c r="BG909" i="2" l="1"/>
  <c r="AX909" i="2"/>
  <c r="BB909" i="2"/>
  <c r="BF909" i="2"/>
  <c r="AY909" i="2"/>
  <c r="BC909" i="2"/>
  <c r="BJ909" i="2" l="1"/>
  <c r="AU910" i="2" s="1"/>
  <c r="BI909" i="2"/>
  <c r="AT910" i="2" s="1"/>
  <c r="AQ910" i="2"/>
  <c r="AR910" i="2" l="1"/>
  <c r="AX910" i="2" s="1"/>
  <c r="BB910" i="2" l="1"/>
  <c r="BG910" i="2"/>
  <c r="BC910" i="2"/>
  <c r="AY910" i="2"/>
  <c r="BJ910" i="2" s="1"/>
  <c r="AR911" i="2" s="1"/>
  <c r="BF910" i="2"/>
  <c r="BI910" i="2" s="1"/>
  <c r="AT911" i="2" s="1"/>
  <c r="AU911" i="2" l="1"/>
  <c r="AQ911" i="2"/>
  <c r="BG911" i="2"/>
  <c r="AY911" i="2"/>
  <c r="AX911" i="2" l="1"/>
  <c r="BC911" i="2"/>
  <c r="BB911" i="2"/>
  <c r="BF911" i="2"/>
  <c r="BJ911" i="2"/>
  <c r="BI911" i="2" l="1"/>
  <c r="AT912" i="2" s="1"/>
  <c r="AQ912" i="2"/>
  <c r="AU912" i="2"/>
  <c r="AR912" i="2"/>
  <c r="BG912" i="2" l="1"/>
  <c r="BC912" i="2"/>
  <c r="AY912" i="2"/>
  <c r="BB912" i="2"/>
  <c r="AX912" i="2"/>
  <c r="BF912" i="2"/>
  <c r="BI912" i="2" l="1"/>
  <c r="AT913" i="2" s="1"/>
  <c r="BJ912" i="2"/>
  <c r="AQ913" i="2" l="1"/>
  <c r="AU913" i="2"/>
  <c r="AR913" i="2"/>
  <c r="BF913" i="2" s="1"/>
  <c r="AX913" i="2" l="1"/>
  <c r="BB913" i="2"/>
  <c r="BG913" i="2"/>
  <c r="BC913" i="2"/>
  <c r="AY913" i="2"/>
  <c r="BI913" i="2" l="1"/>
  <c r="BJ913" i="2"/>
  <c r="AQ914" i="2"/>
  <c r="AT914" i="2"/>
  <c r="AU914" i="2" l="1"/>
  <c r="AR914" i="2"/>
  <c r="BC914" i="2" l="1"/>
  <c r="AY914" i="2"/>
  <c r="BG914" i="2"/>
  <c r="BB914" i="2"/>
  <c r="AX914" i="2"/>
  <c r="BF914" i="2"/>
  <c r="BI914" i="2" l="1"/>
  <c r="AT915" i="2" s="1"/>
  <c r="BJ914" i="2"/>
  <c r="AR915" i="2" s="1"/>
  <c r="AQ915" i="2"/>
  <c r="AU915" i="2" l="1"/>
  <c r="AX915" i="2"/>
  <c r="BB915" i="2"/>
  <c r="BF915" i="2"/>
  <c r="BC915" i="2"/>
  <c r="BG915" i="2"/>
  <c r="AY915" i="2"/>
  <c r="BI915" i="2" l="1"/>
  <c r="BJ915" i="2"/>
  <c r="AU916" i="2" s="1"/>
  <c r="AR916" i="2" l="1"/>
  <c r="AT916" i="2"/>
  <c r="AQ916" i="2"/>
  <c r="BG916" i="2" l="1"/>
  <c r="BB916" i="2"/>
  <c r="BF916" i="2"/>
  <c r="AX916" i="2"/>
  <c r="AY916" i="2"/>
  <c r="BC916" i="2"/>
  <c r="BJ916" i="2" l="1"/>
  <c r="BI916" i="2"/>
  <c r="AT917" i="2" s="1"/>
  <c r="AU917" i="2"/>
  <c r="AR917" i="2"/>
  <c r="AQ917" i="2" l="1"/>
  <c r="BF917" i="2"/>
  <c r="AX917" i="2"/>
  <c r="AY917" i="2"/>
  <c r="BC917" i="2"/>
  <c r="BG917" i="2"/>
  <c r="BB917" i="2"/>
  <c r="BI917" i="2" l="1"/>
  <c r="BJ917" i="2"/>
  <c r="AU918" i="2" s="1"/>
  <c r="AQ918" i="2"/>
  <c r="AT918" i="2"/>
  <c r="AR918" i="2" l="1"/>
  <c r="AY918" i="2" s="1"/>
  <c r="BC918" i="2" l="1"/>
  <c r="AX918" i="2"/>
  <c r="BF918" i="2"/>
  <c r="BB918" i="2"/>
  <c r="BG918" i="2"/>
  <c r="BJ918" i="2" s="1"/>
  <c r="BI918" i="2" l="1"/>
  <c r="AU919" i="2"/>
  <c r="AR919" i="2"/>
  <c r="AQ919" i="2"/>
  <c r="AT919" i="2"/>
  <c r="BG919" i="2" l="1"/>
  <c r="AY919" i="2"/>
  <c r="BC919" i="2"/>
  <c r="BB919" i="2"/>
  <c r="AX919" i="2"/>
  <c r="BF919" i="2"/>
  <c r="BI919" i="2" l="1"/>
  <c r="AQ920" i="2" s="1"/>
  <c r="BJ919" i="2"/>
  <c r="AT920" i="2" l="1"/>
  <c r="AR920" i="2"/>
  <c r="AU920" i="2"/>
  <c r="BC920" i="2" l="1"/>
  <c r="BG920" i="2"/>
  <c r="AY920" i="2"/>
  <c r="BB920" i="2"/>
  <c r="BF920" i="2"/>
  <c r="AX920" i="2"/>
  <c r="BI920" i="2" l="1"/>
  <c r="BJ920" i="2"/>
  <c r="AR921" i="2" l="1"/>
  <c r="AU921" i="2"/>
  <c r="AT921" i="2"/>
  <c r="AQ921" i="2"/>
  <c r="BB921" i="2" l="1"/>
  <c r="AX921" i="2"/>
  <c r="BF921" i="2"/>
  <c r="BG921" i="2"/>
  <c r="AY921" i="2"/>
  <c r="BC921" i="2"/>
  <c r="BI921" i="2" l="1"/>
  <c r="AT922" i="2" s="1"/>
  <c r="BJ921" i="2"/>
  <c r="AQ922" i="2" l="1"/>
  <c r="AU922" i="2"/>
  <c r="AR922" i="2"/>
  <c r="BC922" i="2" l="1"/>
  <c r="AY922" i="2"/>
  <c r="BG922" i="2"/>
  <c r="BF922" i="2"/>
  <c r="AX922" i="2"/>
  <c r="BB922" i="2"/>
  <c r="BJ922" i="2" l="1"/>
  <c r="AU923" i="2" s="1"/>
  <c r="BI922" i="2"/>
  <c r="AR923" i="2" l="1"/>
  <c r="AT923" i="2"/>
  <c r="AQ923" i="2"/>
  <c r="BG923" i="2" l="1"/>
  <c r="BF923" i="2"/>
  <c r="AX923" i="2"/>
  <c r="BB923" i="2"/>
  <c r="AY923" i="2"/>
  <c r="BC923" i="2"/>
  <c r="BJ923" i="2" l="1"/>
  <c r="AU924" i="2" s="1"/>
  <c r="BI923" i="2"/>
  <c r="AR924" i="2" l="1"/>
  <c r="AT924" i="2"/>
  <c r="AQ924" i="2"/>
  <c r="BC924" i="2" l="1"/>
  <c r="BB924" i="2"/>
  <c r="BF924" i="2"/>
  <c r="AX924" i="2"/>
  <c r="BG924" i="2"/>
  <c r="AY924" i="2"/>
  <c r="BJ924" i="2" l="1"/>
  <c r="BI924" i="2"/>
  <c r="AT925" i="2" l="1"/>
  <c r="AQ925" i="2"/>
  <c r="AR925" i="2"/>
  <c r="AU925" i="2"/>
  <c r="BB925" i="2" l="1"/>
  <c r="BF925" i="2"/>
  <c r="AX925" i="2"/>
  <c r="BC925" i="2"/>
  <c r="BG925" i="2"/>
  <c r="AY925" i="2"/>
  <c r="BJ925" i="2" l="1"/>
  <c r="AR926" i="2" s="1"/>
  <c r="BI925" i="2"/>
  <c r="AU926" i="2" l="1"/>
  <c r="AT926" i="2"/>
  <c r="AQ926" i="2"/>
  <c r="AX926" i="2" l="1"/>
  <c r="BB926" i="2"/>
  <c r="BF926" i="2"/>
  <c r="AY926" i="2"/>
  <c r="BC926" i="2"/>
  <c r="BG926" i="2"/>
  <c r="BJ926" i="2" l="1"/>
  <c r="AU927" i="2" s="1"/>
  <c r="BI926" i="2"/>
  <c r="AT927" i="2" s="1"/>
  <c r="AR927" i="2" l="1"/>
  <c r="AQ927" i="2"/>
  <c r="AY927" i="2" l="1"/>
  <c r="BB927" i="2"/>
  <c r="BF927" i="2"/>
  <c r="AX927" i="2"/>
  <c r="BG927" i="2"/>
  <c r="BC927" i="2"/>
  <c r="BI927" i="2" l="1"/>
  <c r="AT928" i="2" s="1"/>
  <c r="BJ927" i="2"/>
  <c r="AU928" i="2" s="1"/>
  <c r="AR928" i="2" l="1"/>
  <c r="AQ928" i="2"/>
  <c r="BG928" i="2" l="1"/>
  <c r="BB928" i="2"/>
  <c r="BF928" i="2"/>
  <c r="AX928" i="2"/>
  <c r="AY928" i="2"/>
  <c r="BC928" i="2"/>
  <c r="BJ928" i="2" l="1"/>
  <c r="AR929" i="2" s="1"/>
  <c r="BI928" i="2"/>
  <c r="AQ929" i="2" s="1"/>
  <c r="AT929" i="2" l="1"/>
  <c r="AU929" i="2"/>
  <c r="BB929" i="2"/>
  <c r="AX929" i="2"/>
  <c r="BF929" i="2"/>
  <c r="AY929" i="2"/>
  <c r="BC929" i="2"/>
  <c r="BG929" i="2"/>
  <c r="BI929" i="2" l="1"/>
  <c r="AT930" i="2" s="1"/>
  <c r="BJ929" i="2"/>
  <c r="AQ930" i="2" l="1"/>
  <c r="AR930" i="2"/>
  <c r="AU930" i="2"/>
  <c r="AX930" i="2" l="1"/>
  <c r="BF930" i="2"/>
  <c r="AY930" i="2"/>
  <c r="BG930" i="2"/>
  <c r="BC930" i="2"/>
  <c r="BB930" i="2"/>
  <c r="BJ930" i="2" l="1"/>
  <c r="BI930" i="2"/>
  <c r="AT931" i="2" l="1"/>
  <c r="AQ931" i="2"/>
  <c r="AU931" i="2"/>
  <c r="AR931" i="2"/>
  <c r="BB931" i="2" l="1"/>
  <c r="AX931" i="2"/>
  <c r="BF931" i="2"/>
  <c r="AY931" i="2"/>
  <c r="BG931" i="2"/>
  <c r="BC931" i="2"/>
  <c r="BI931" i="2" l="1"/>
  <c r="AT932" i="2" s="1"/>
  <c r="BJ931" i="2"/>
  <c r="AU932" i="2" s="1"/>
  <c r="AQ932" i="2"/>
  <c r="AR932" i="2" l="1"/>
  <c r="AX932" i="2" l="1"/>
  <c r="AY932" i="2"/>
  <c r="BG932" i="2"/>
  <c r="BC932" i="2"/>
  <c r="BF932" i="2"/>
  <c r="BB932" i="2"/>
  <c r="BI932" i="2" l="1"/>
  <c r="BJ932" i="2"/>
  <c r="AT933" i="2"/>
  <c r="AQ933" i="2"/>
  <c r="AU933" i="2"/>
  <c r="AR933" i="2"/>
  <c r="BC933" i="2" l="1"/>
  <c r="AY933" i="2"/>
  <c r="BG933" i="2"/>
  <c r="BB933" i="2"/>
  <c r="BF933" i="2"/>
  <c r="AX933" i="2"/>
  <c r="BJ933" i="2" l="1"/>
  <c r="BI933" i="2"/>
  <c r="AT934" i="2" s="1"/>
  <c r="AQ934" i="2" l="1"/>
  <c r="AR934" i="2"/>
  <c r="AU934" i="2"/>
  <c r="BB934" i="2" l="1"/>
  <c r="AX934" i="2"/>
  <c r="AY934" i="2"/>
  <c r="BG934" i="2"/>
  <c r="BC934" i="2"/>
  <c r="BF934" i="2"/>
  <c r="BI934" i="2" s="1"/>
  <c r="BJ934" i="2" l="1"/>
  <c r="AR935" i="2" s="1"/>
  <c r="AT935" i="2"/>
  <c r="AQ935" i="2"/>
  <c r="AU935" i="2" l="1"/>
  <c r="BB935" i="2"/>
  <c r="BF935" i="2"/>
  <c r="AX935" i="2"/>
  <c r="AY935" i="2"/>
  <c r="BC935" i="2"/>
  <c r="BG935" i="2"/>
  <c r="BJ935" i="2" l="1"/>
  <c r="AU936" i="2" s="1"/>
  <c r="BI935" i="2"/>
  <c r="AR936" i="2" l="1"/>
  <c r="AT936" i="2"/>
  <c r="AQ936" i="2"/>
  <c r="BC936" i="2" l="1"/>
  <c r="BG936" i="2"/>
  <c r="BB936" i="2"/>
  <c r="BF936" i="2"/>
  <c r="AX936" i="2"/>
  <c r="AY936" i="2"/>
  <c r="BJ936" i="2" l="1"/>
  <c r="AU937" i="2" s="1"/>
  <c r="BI936" i="2"/>
  <c r="AR937" i="2" l="1"/>
  <c r="AT937" i="2"/>
  <c r="AQ937" i="2"/>
  <c r="BC937" i="2" l="1"/>
  <c r="BG937" i="2"/>
  <c r="BF937" i="2"/>
  <c r="BB937" i="2"/>
  <c r="AX937" i="2"/>
  <c r="AY937" i="2"/>
  <c r="BJ937" i="2" l="1"/>
  <c r="AU938" i="2" s="1"/>
  <c r="BI937" i="2"/>
  <c r="AR938" i="2" l="1"/>
  <c r="AQ938" i="2"/>
  <c r="AT938" i="2"/>
  <c r="BB938" i="2" l="1"/>
  <c r="AX938" i="2"/>
  <c r="BF938" i="2"/>
  <c r="AY938" i="2"/>
  <c r="BC938" i="2"/>
  <c r="BG938" i="2"/>
  <c r="BJ938" i="2" l="1"/>
  <c r="AR939" i="2" s="1"/>
  <c r="BI938" i="2"/>
  <c r="AT939" i="2" s="1"/>
  <c r="AQ939" i="2" l="1"/>
  <c r="AU939" i="2"/>
  <c r="AX939" i="2" l="1"/>
  <c r="BG939" i="2"/>
  <c r="BB939" i="2"/>
  <c r="AY939" i="2"/>
  <c r="BC939" i="2"/>
  <c r="BF939" i="2"/>
  <c r="BI939" i="2" l="1"/>
  <c r="BJ939" i="2"/>
  <c r="AU940" i="2" s="1"/>
  <c r="AT940" i="2"/>
  <c r="AQ940" i="2"/>
  <c r="AR940" i="2" l="1"/>
  <c r="AX940" i="2" s="1"/>
  <c r="BB940" i="2" l="1"/>
  <c r="BG940" i="2"/>
  <c r="BC940" i="2"/>
  <c r="AY940" i="2"/>
  <c r="BJ940" i="2" s="1"/>
  <c r="BF940" i="2"/>
  <c r="BI940" i="2" l="1"/>
  <c r="AU941" i="2"/>
  <c r="AR941" i="2"/>
  <c r="AQ941" i="2"/>
  <c r="BF941" i="2" s="1"/>
  <c r="AT941" i="2"/>
  <c r="BC941" i="2" l="1"/>
  <c r="BG941" i="2"/>
  <c r="AY941" i="2"/>
  <c r="BB941" i="2"/>
  <c r="AX941" i="2"/>
  <c r="BJ941" i="2"/>
  <c r="BI941" i="2" l="1"/>
  <c r="AR942" i="2"/>
  <c r="AU942" i="2"/>
  <c r="AQ942" i="2"/>
  <c r="AT942" i="2"/>
  <c r="AX942" i="2" l="1"/>
  <c r="BF942" i="2"/>
  <c r="BB942" i="2"/>
  <c r="BG942" i="2"/>
  <c r="BC942" i="2"/>
  <c r="AY942" i="2"/>
  <c r="BJ942" i="2" l="1"/>
  <c r="BI942" i="2"/>
  <c r="AT943" i="2" l="1"/>
  <c r="AQ943" i="2"/>
  <c r="AU943" i="2"/>
  <c r="AR943" i="2"/>
  <c r="BF943" i="2" l="1"/>
  <c r="BB943" i="2"/>
  <c r="AX943" i="2"/>
  <c r="BC943" i="2"/>
  <c r="BG943" i="2"/>
  <c r="AY943" i="2"/>
  <c r="BJ943" i="2" l="1"/>
  <c r="BI943" i="2"/>
  <c r="AT944" i="2" l="1"/>
  <c r="AQ944" i="2"/>
  <c r="AU944" i="2"/>
  <c r="AR944" i="2"/>
  <c r="BC944" i="2" l="1"/>
  <c r="AY944" i="2"/>
  <c r="BG944" i="2"/>
  <c r="AX944" i="2"/>
  <c r="BF944" i="2"/>
  <c r="BB944" i="2"/>
  <c r="BJ944" i="2" l="1"/>
  <c r="AU945" i="2" s="1"/>
  <c r="BI944" i="2"/>
  <c r="AT945" i="2" s="1"/>
  <c r="AR945" i="2" l="1"/>
  <c r="AQ945" i="2"/>
  <c r="BC945" i="2" l="1"/>
  <c r="BB945" i="2"/>
  <c r="BF945" i="2"/>
  <c r="AX945" i="2"/>
  <c r="AY945" i="2"/>
  <c r="BG945" i="2"/>
  <c r="BJ945" i="2" l="1"/>
  <c r="BI945" i="2"/>
  <c r="AU946" i="2"/>
  <c r="AR946" i="2"/>
  <c r="AT946" i="2"/>
  <c r="AQ946" i="2"/>
  <c r="BG946" i="2" l="1"/>
  <c r="BC946" i="2"/>
  <c r="AY946" i="2"/>
  <c r="BB946" i="2"/>
  <c r="AX946" i="2"/>
  <c r="BF946" i="2"/>
  <c r="BI946" i="2" l="1"/>
  <c r="AT947" i="2" s="1"/>
  <c r="BJ946" i="2"/>
  <c r="AQ947" i="2" l="1"/>
  <c r="AU947" i="2"/>
  <c r="AR947" i="2"/>
  <c r="AX947" i="2" l="1"/>
  <c r="BF947" i="2"/>
  <c r="BB947" i="2"/>
  <c r="BC947" i="2"/>
  <c r="AY947" i="2"/>
  <c r="BG947" i="2"/>
  <c r="BI947" i="2" l="1"/>
  <c r="BJ947" i="2"/>
  <c r="AU948" i="2" s="1"/>
  <c r="AT948" i="2"/>
  <c r="AQ948" i="2"/>
  <c r="AR948" i="2" l="1"/>
  <c r="AX948" i="2" s="1"/>
  <c r="BB948" i="2" l="1"/>
  <c r="AY948" i="2"/>
  <c r="BC948" i="2"/>
  <c r="BG948" i="2"/>
  <c r="BJ948" i="2" s="1"/>
  <c r="BF948" i="2"/>
  <c r="AU949" i="2" l="1"/>
  <c r="AR949" i="2"/>
  <c r="BI948" i="2"/>
  <c r="AT949" i="2" s="1"/>
  <c r="AQ949" i="2" l="1"/>
  <c r="BC949" i="2"/>
  <c r="BF949" i="2"/>
  <c r="AX949" i="2"/>
  <c r="BB949" i="2"/>
  <c r="AY949" i="2"/>
  <c r="BG949" i="2"/>
  <c r="BI949" i="2" l="1"/>
  <c r="BJ949" i="2"/>
  <c r="AU950" i="2" s="1"/>
  <c r="AT950" i="2"/>
  <c r="AQ950" i="2"/>
  <c r="AR950" i="2" l="1"/>
  <c r="AY950" i="2"/>
  <c r="BC950" i="2"/>
  <c r="BG950" i="2"/>
  <c r="BF950" i="2"/>
  <c r="BB950" i="2"/>
  <c r="AX950" i="2"/>
  <c r="BJ950" i="2" l="1"/>
  <c r="BI950" i="2"/>
  <c r="AU951" i="2" l="1"/>
  <c r="AR951" i="2"/>
  <c r="AT951" i="2"/>
  <c r="AQ951" i="2"/>
  <c r="AX951" i="2" l="1"/>
  <c r="BB951" i="2"/>
  <c r="BF951" i="2"/>
  <c r="BC951" i="2"/>
  <c r="BG951" i="2"/>
  <c r="AY951" i="2"/>
  <c r="BJ951" i="2" l="1"/>
  <c r="AU952" i="2" s="1"/>
  <c r="BI951" i="2"/>
  <c r="AR952" i="2" l="1"/>
  <c r="AQ952" i="2"/>
  <c r="AX952" i="2" s="1"/>
  <c r="AT952" i="2"/>
  <c r="BB952" i="2" l="1"/>
  <c r="BF952" i="2"/>
  <c r="AY952" i="2"/>
  <c r="BG952" i="2"/>
  <c r="BC952" i="2"/>
  <c r="BI952" i="2" l="1"/>
  <c r="BJ952" i="2"/>
  <c r="AU953" i="2" s="1"/>
  <c r="AQ953" i="2"/>
  <c r="AT953" i="2"/>
  <c r="AR953" i="2" l="1"/>
  <c r="BC953" i="2" s="1"/>
  <c r="AY953" i="2"/>
  <c r="BG953" i="2"/>
  <c r="BF953" i="2"/>
  <c r="BB953" i="2"/>
  <c r="AX953" i="2"/>
  <c r="BJ953" i="2" l="1"/>
  <c r="AU954" i="2" s="1"/>
  <c r="BI953" i="2"/>
  <c r="AR954" i="2" l="1"/>
  <c r="AQ954" i="2"/>
  <c r="AT954" i="2"/>
  <c r="BF954" i="2" l="1"/>
  <c r="AX954" i="2"/>
  <c r="BB954" i="2"/>
  <c r="BG954" i="2"/>
  <c r="BC954" i="2"/>
  <c r="AY954" i="2"/>
  <c r="BJ954" i="2" l="1"/>
  <c r="AU955" i="2" s="1"/>
  <c r="BI954" i="2"/>
  <c r="AR955" i="2" l="1"/>
  <c r="AT955" i="2"/>
  <c r="AQ955" i="2"/>
  <c r="AY955" i="2" l="1"/>
  <c r="BC955" i="2"/>
  <c r="BF955" i="2"/>
  <c r="BB955" i="2"/>
  <c r="AX955" i="2"/>
  <c r="BG955" i="2"/>
  <c r="BJ955" i="2" l="1"/>
  <c r="AR956" i="2"/>
  <c r="AU956" i="2"/>
  <c r="BI955" i="2"/>
  <c r="AQ956" i="2" l="1"/>
  <c r="AT956" i="2"/>
  <c r="BG956" i="2" l="1"/>
  <c r="BC956" i="2"/>
  <c r="AY956" i="2"/>
  <c r="BB956" i="2"/>
  <c r="BF956" i="2"/>
  <c r="AX956" i="2"/>
  <c r="BJ956" i="2" l="1"/>
  <c r="AU957" i="2" s="1"/>
  <c r="BI956" i="2"/>
  <c r="AR957" i="2"/>
  <c r="AT957" i="2" l="1"/>
  <c r="AQ957" i="2"/>
  <c r="BB957" i="2" l="1"/>
  <c r="AX957" i="2"/>
  <c r="BC957" i="2"/>
  <c r="AY957" i="2"/>
  <c r="BG957" i="2"/>
  <c r="BF957" i="2"/>
  <c r="BI957" i="2" l="1"/>
  <c r="AT958" i="2" s="1"/>
  <c r="AQ958" i="2"/>
  <c r="BJ957" i="2"/>
  <c r="AU958" i="2" l="1"/>
  <c r="AR958" i="2"/>
  <c r="BF958" i="2" l="1"/>
  <c r="AX958" i="2"/>
  <c r="AY958" i="2"/>
  <c r="BG958" i="2"/>
  <c r="BC958" i="2"/>
  <c r="BB958" i="2"/>
  <c r="BI958" i="2" l="1"/>
  <c r="AT959" i="2" s="1"/>
  <c r="BJ958" i="2"/>
  <c r="AQ959" i="2" l="1"/>
  <c r="AR959" i="2"/>
  <c r="AU959" i="2"/>
  <c r="BC959" i="2" l="1"/>
  <c r="BG959" i="2"/>
  <c r="AY959" i="2"/>
  <c r="AX959" i="2"/>
  <c r="BB959" i="2"/>
  <c r="BF959" i="2"/>
  <c r="BI959" i="2" l="1"/>
  <c r="BJ959" i="2"/>
  <c r="AR960" i="2" l="1"/>
  <c r="AU960" i="2"/>
  <c r="AQ960" i="2"/>
  <c r="AT960" i="2"/>
  <c r="AX960" i="2" l="1"/>
  <c r="BB960" i="2"/>
  <c r="BF960" i="2"/>
  <c r="AY960" i="2"/>
  <c r="BG960" i="2"/>
  <c r="BC960" i="2"/>
  <c r="BJ960" i="2" l="1"/>
  <c r="AR961" i="2" s="1"/>
  <c r="BI960" i="2"/>
  <c r="AU961" i="2" l="1"/>
  <c r="AT961" i="2"/>
  <c r="AQ961" i="2"/>
  <c r="BF961" i="2" l="1"/>
  <c r="AY961" i="2"/>
  <c r="BG961" i="2"/>
  <c r="BC961" i="2"/>
  <c r="BB961" i="2"/>
  <c r="AX961" i="2"/>
  <c r="BJ961" i="2" l="1"/>
  <c r="AR962" i="2" s="1"/>
  <c r="BI961" i="2"/>
  <c r="AU962" i="2" l="1"/>
  <c r="AQ962" i="2"/>
  <c r="AT962" i="2"/>
  <c r="AY962" i="2" l="1"/>
  <c r="BB962" i="2"/>
  <c r="BC962" i="2"/>
  <c r="AX962" i="2"/>
  <c r="BG962" i="2"/>
  <c r="BF962" i="2"/>
  <c r="BJ962" i="2" l="1"/>
  <c r="AU963" i="2" s="1"/>
  <c r="BI962" i="2"/>
  <c r="AR963" i="2" l="1"/>
  <c r="AQ963" i="2"/>
  <c r="AT963" i="2"/>
  <c r="BC963" i="2" l="1"/>
  <c r="BG963" i="2"/>
  <c r="BF963" i="2"/>
  <c r="AX963" i="2"/>
  <c r="AY963" i="2"/>
  <c r="BB963" i="2"/>
  <c r="BI963" i="2" l="1"/>
  <c r="BJ963" i="2"/>
  <c r="AR964" i="2" l="1"/>
  <c r="AU964" i="2"/>
  <c r="AT964" i="2"/>
  <c r="AQ964" i="2"/>
  <c r="BB964" i="2" l="1"/>
  <c r="AX964" i="2"/>
  <c r="BF964" i="2"/>
  <c r="AY964" i="2"/>
  <c r="BC964" i="2"/>
  <c r="BG964" i="2"/>
  <c r="BJ964" i="2" l="1"/>
  <c r="AU965" i="2" s="1"/>
  <c r="BI964" i="2"/>
  <c r="AR965" i="2" l="1"/>
  <c r="AQ965" i="2"/>
  <c r="AT965" i="2"/>
  <c r="BF965" i="2" l="1"/>
  <c r="BG965" i="2"/>
  <c r="AX965" i="2"/>
  <c r="BC965" i="2"/>
  <c r="BB965" i="2"/>
  <c r="AY965" i="2"/>
  <c r="BJ965" i="2" l="1"/>
  <c r="BI965" i="2"/>
  <c r="AQ966" i="2" l="1"/>
  <c r="AT966" i="2"/>
  <c r="AU966" i="2"/>
  <c r="AR966" i="2"/>
  <c r="AY966" i="2" l="1"/>
  <c r="BG966" i="2"/>
  <c r="BC966" i="2"/>
  <c r="BF966" i="2"/>
  <c r="BB966" i="2"/>
  <c r="AX966" i="2"/>
  <c r="BJ966" i="2" l="1"/>
  <c r="AU967" i="2" s="1"/>
  <c r="BI966" i="2"/>
  <c r="AR967" i="2" l="1"/>
  <c r="AT967" i="2"/>
  <c r="AQ967" i="2"/>
  <c r="AX967" i="2" l="1"/>
  <c r="BG967" i="2"/>
  <c r="BB967" i="2"/>
  <c r="AY967" i="2"/>
  <c r="BF967" i="2"/>
  <c r="BC967" i="2"/>
  <c r="BI967" i="2" l="1"/>
  <c r="AT968" i="2" s="1"/>
  <c r="BJ967" i="2"/>
  <c r="AQ968" i="2" l="1"/>
  <c r="AR968" i="2"/>
  <c r="AU968" i="2"/>
  <c r="BB968" i="2" l="1"/>
  <c r="BG968" i="2"/>
  <c r="BC968" i="2"/>
  <c r="AY968" i="2"/>
  <c r="AX968" i="2"/>
  <c r="BF968" i="2"/>
  <c r="BI968" i="2" l="1"/>
  <c r="BJ968" i="2"/>
  <c r="AU969" i="2" l="1"/>
  <c r="AR969" i="2"/>
  <c r="AT969" i="2"/>
  <c r="AQ969" i="2"/>
  <c r="AX969" i="2" l="1"/>
  <c r="BF969" i="2"/>
  <c r="BB969" i="2"/>
  <c r="BC969" i="2"/>
  <c r="AY969" i="2"/>
  <c r="BG969" i="2"/>
  <c r="BJ969" i="2" l="1"/>
  <c r="BI969" i="2"/>
  <c r="AT970" i="2" l="1"/>
  <c r="AQ970" i="2"/>
  <c r="AU970" i="2"/>
  <c r="AR970" i="2"/>
  <c r="BC970" i="2" l="1"/>
  <c r="AY970" i="2"/>
  <c r="BG970" i="2"/>
  <c r="BF970" i="2"/>
  <c r="BB970" i="2"/>
  <c r="AX970" i="2"/>
  <c r="BI970" i="2" l="1"/>
  <c r="BJ970" i="2"/>
  <c r="AU971" i="2" l="1"/>
  <c r="AR971" i="2"/>
  <c r="AT971" i="2"/>
  <c r="AQ971" i="2"/>
  <c r="BF971" i="2" l="1"/>
  <c r="BB971" i="2"/>
  <c r="AX971" i="2"/>
  <c r="BC971" i="2"/>
  <c r="BG971" i="2"/>
  <c r="AY971" i="2"/>
  <c r="BJ971" i="2" l="1"/>
  <c r="BI971" i="2"/>
  <c r="AT972" i="2" l="1"/>
  <c r="AQ972" i="2"/>
  <c r="AR972" i="2"/>
  <c r="AU972" i="2"/>
  <c r="BG972" i="2" l="1"/>
  <c r="BC972" i="2"/>
  <c r="AY972" i="2"/>
  <c r="BB972" i="2"/>
  <c r="BF972" i="2"/>
  <c r="AX972" i="2"/>
  <c r="BI972" i="2" l="1"/>
  <c r="AT973" i="2" s="1"/>
  <c r="BJ972" i="2"/>
  <c r="AQ973" i="2" l="1"/>
  <c r="AU973" i="2"/>
  <c r="AR973" i="2"/>
  <c r="BB973" i="2" l="1"/>
  <c r="AX973" i="2"/>
  <c r="BF973" i="2"/>
  <c r="AY973" i="2"/>
  <c r="BG973" i="2"/>
  <c r="BC973" i="2"/>
  <c r="BI973" i="2" l="1"/>
  <c r="AQ974" i="2" s="1"/>
  <c r="BJ973" i="2"/>
  <c r="AT974" i="2" l="1"/>
  <c r="AU974" i="2"/>
  <c r="AR974" i="2"/>
  <c r="AX974" i="2" l="1"/>
  <c r="AY974" i="2"/>
  <c r="BG974" i="2"/>
  <c r="BC974" i="2"/>
  <c r="BB974" i="2"/>
  <c r="BF974" i="2"/>
  <c r="BI974" i="2" l="1"/>
  <c r="AT975" i="2" s="1"/>
  <c r="BJ974" i="2"/>
  <c r="AQ975" i="2" l="1"/>
  <c r="AU975" i="2"/>
  <c r="AR975" i="2"/>
  <c r="BB975" i="2" l="1"/>
  <c r="BF975" i="2"/>
  <c r="BC975" i="2"/>
  <c r="AY975" i="2"/>
  <c r="BG975" i="2"/>
  <c r="AX975" i="2"/>
  <c r="BI975" i="2" l="1"/>
  <c r="AQ976" i="2" s="1"/>
  <c r="BJ975" i="2"/>
  <c r="AU976" i="2" s="1"/>
  <c r="AT976" i="2" l="1"/>
  <c r="AR976" i="2"/>
  <c r="BC976" i="2" l="1"/>
  <c r="BF976" i="2"/>
  <c r="BB976" i="2"/>
  <c r="AX976" i="2"/>
  <c r="BG976" i="2"/>
  <c r="AY976" i="2"/>
  <c r="BI976" i="2" l="1"/>
  <c r="BJ976" i="2"/>
  <c r="AR977" i="2" s="1"/>
  <c r="AU977" i="2"/>
  <c r="AT977" i="2"/>
  <c r="AQ977" i="2"/>
  <c r="AX977" i="2" l="1"/>
  <c r="BG977" i="2"/>
  <c r="BB977" i="2"/>
  <c r="AY977" i="2"/>
  <c r="BF977" i="2"/>
  <c r="BC977" i="2"/>
  <c r="BI977" i="2" l="1"/>
  <c r="AQ978" i="2" s="1"/>
  <c r="BJ977" i="2"/>
  <c r="AT978" i="2" l="1"/>
  <c r="AU978" i="2"/>
  <c r="AR978" i="2"/>
  <c r="BG978" i="2" l="1"/>
  <c r="AY978" i="2"/>
  <c r="BC978" i="2"/>
  <c r="BB978" i="2"/>
  <c r="BF978" i="2"/>
  <c r="AX978" i="2"/>
  <c r="BI978" i="2" l="1"/>
  <c r="BJ978" i="2"/>
  <c r="AR979" i="2" l="1"/>
  <c r="AU979" i="2"/>
  <c r="AT979" i="2"/>
  <c r="AQ979" i="2"/>
  <c r="BF979" i="2" l="1"/>
  <c r="BB979" i="2"/>
  <c r="AX979" i="2"/>
  <c r="BC979" i="2"/>
  <c r="BG979" i="2"/>
  <c r="AY979" i="2"/>
  <c r="BJ979" i="2" l="1"/>
  <c r="BI979" i="2"/>
  <c r="AT980" i="2" l="1"/>
  <c r="AQ980" i="2"/>
  <c r="AR980" i="2"/>
  <c r="AU980" i="2"/>
  <c r="AY980" i="2" l="1"/>
  <c r="BC980" i="2"/>
  <c r="BG980" i="2"/>
  <c r="AX980" i="2"/>
  <c r="BF980" i="2"/>
  <c r="BB980" i="2"/>
  <c r="BJ980" i="2" l="1"/>
  <c r="AR981" i="2" s="1"/>
  <c r="BI980" i="2"/>
  <c r="AU981" i="2" l="1"/>
  <c r="AT981" i="2"/>
  <c r="AQ981" i="2"/>
  <c r="BF981" i="2" l="1"/>
  <c r="BB981" i="2"/>
  <c r="AX981" i="2"/>
  <c r="BG981" i="2"/>
  <c r="AY981" i="2"/>
  <c r="BC981" i="2"/>
  <c r="BJ981" i="2" l="1"/>
  <c r="BI981" i="2"/>
  <c r="AQ982" i="2" l="1"/>
  <c r="AT982" i="2"/>
  <c r="AR982" i="2"/>
  <c r="AU982" i="2"/>
  <c r="AY982" i="2" l="1"/>
  <c r="BC982" i="2"/>
  <c r="BG982" i="2"/>
  <c r="BB982" i="2"/>
  <c r="BF982" i="2"/>
  <c r="AX982" i="2"/>
  <c r="BI982" i="2" l="1"/>
  <c r="AQ983" i="2" s="1"/>
  <c r="BJ982" i="2"/>
  <c r="AR983" i="2" s="1"/>
  <c r="AT983" i="2" l="1"/>
  <c r="BC983" i="2"/>
  <c r="AY983" i="2"/>
  <c r="BF983" i="2"/>
  <c r="BG983" i="2"/>
  <c r="BJ983" i="2" s="1"/>
  <c r="AX983" i="2"/>
  <c r="BB983" i="2"/>
  <c r="AU983" i="2"/>
  <c r="AU984" i="2" l="1"/>
  <c r="AR984" i="2"/>
  <c r="BI983" i="2"/>
  <c r="AQ984" i="2" s="1"/>
  <c r="AT984" i="2" l="1"/>
  <c r="AX984" i="2"/>
  <c r="AY984" i="2"/>
  <c r="BB984" i="2"/>
  <c r="BF984" i="2"/>
  <c r="BG984" i="2"/>
  <c r="BC984" i="2"/>
  <c r="BI984" i="2" l="1"/>
  <c r="AQ985" i="2" s="1"/>
  <c r="BJ984" i="2"/>
  <c r="AU985" i="2" s="1"/>
  <c r="AR985" i="2" l="1"/>
  <c r="AT985" i="2"/>
  <c r="AX985" i="2" l="1"/>
  <c r="BC985" i="2"/>
  <c r="BG985" i="2"/>
  <c r="AY985" i="2"/>
  <c r="BB985" i="2"/>
  <c r="BF985" i="2"/>
  <c r="BI985" i="2" l="1"/>
  <c r="AT986" i="2" s="1"/>
  <c r="BJ985" i="2"/>
  <c r="AR986" i="2"/>
  <c r="AU986" i="2"/>
  <c r="AQ986" i="2" l="1"/>
  <c r="BC986" i="2"/>
  <c r="BG986" i="2"/>
  <c r="AY986" i="2"/>
  <c r="BB986" i="2"/>
  <c r="AX986" i="2"/>
  <c r="BF986" i="2"/>
  <c r="BI986" i="2" l="1"/>
  <c r="BJ986" i="2"/>
  <c r="AR987" i="2" l="1"/>
  <c r="AU987" i="2"/>
  <c r="AT987" i="2"/>
  <c r="AQ987" i="2"/>
  <c r="BB987" i="2" l="1"/>
  <c r="BF987" i="2"/>
  <c r="AX987" i="2"/>
  <c r="AY987" i="2"/>
  <c r="BG987" i="2"/>
  <c r="BC987" i="2"/>
  <c r="BJ987" i="2" l="1"/>
  <c r="BI987" i="2"/>
  <c r="AT988" i="2" l="1"/>
  <c r="AQ988" i="2"/>
  <c r="AU988" i="2"/>
  <c r="AR988" i="2"/>
  <c r="BC988" i="2" l="1"/>
  <c r="AY988" i="2"/>
  <c r="BG988" i="2"/>
  <c r="BB988" i="2"/>
  <c r="AX988" i="2"/>
  <c r="BF988" i="2"/>
  <c r="BI988" i="2" l="1"/>
  <c r="AQ989" i="2" s="1"/>
  <c r="BJ988" i="2"/>
  <c r="AU989" i="2" s="1"/>
  <c r="AT989" i="2"/>
  <c r="AR989" i="2"/>
  <c r="AY989" i="2" l="1"/>
  <c r="BG989" i="2"/>
  <c r="BC989" i="2"/>
  <c r="BF989" i="2"/>
  <c r="BB989" i="2"/>
  <c r="AX989" i="2"/>
  <c r="BI989" i="2" l="1"/>
  <c r="AT990" i="2" s="1"/>
  <c r="BJ989" i="2"/>
  <c r="AQ990" i="2" l="1"/>
  <c r="AU990" i="2"/>
  <c r="AR990" i="2"/>
  <c r="AY990" i="2" l="1"/>
  <c r="BB990" i="2"/>
  <c r="BG990" i="2"/>
  <c r="BC990" i="2"/>
  <c r="AX990" i="2"/>
  <c r="BF990" i="2"/>
  <c r="BI990" i="2" l="1"/>
  <c r="AT991" i="2" s="1"/>
  <c r="BJ990" i="2"/>
  <c r="AQ991" i="2" l="1"/>
  <c r="AU991" i="2"/>
  <c r="AR991" i="2"/>
  <c r="BB991" i="2" l="1"/>
  <c r="AX991" i="2"/>
  <c r="BF991" i="2"/>
  <c r="BC991" i="2"/>
  <c r="AY991" i="2"/>
  <c r="BG991" i="2"/>
  <c r="BJ991" i="2" l="1"/>
  <c r="AR992" i="2" s="1"/>
  <c r="BI991" i="2"/>
  <c r="AU992" i="2" l="1"/>
  <c r="AT992" i="2"/>
  <c r="AQ992" i="2"/>
  <c r="BG992" i="2" l="1"/>
  <c r="BF992" i="2"/>
  <c r="BB992" i="2"/>
  <c r="AX992" i="2"/>
  <c r="BC992" i="2"/>
  <c r="AY992" i="2"/>
  <c r="BI992" i="2" l="1"/>
  <c r="BJ992" i="2"/>
  <c r="AR993" i="2" l="1"/>
  <c r="AU993" i="2"/>
  <c r="AT993" i="2"/>
  <c r="AQ993" i="2"/>
  <c r="BB993" i="2" l="1"/>
  <c r="BF993" i="2"/>
  <c r="AX993" i="2"/>
  <c r="AY993" i="2"/>
  <c r="BG993" i="2"/>
  <c r="BC993" i="2"/>
  <c r="BJ993" i="2" l="1"/>
  <c r="BI993" i="2"/>
  <c r="AQ994" i="2" l="1"/>
  <c r="AT994" i="2"/>
  <c r="AR994" i="2"/>
  <c r="AU994" i="2"/>
  <c r="BB994" i="2" l="1"/>
  <c r="BC994" i="2"/>
  <c r="BG994" i="2"/>
  <c r="AY994" i="2"/>
  <c r="AX994" i="2"/>
  <c r="BF994" i="2"/>
  <c r="BI994" i="2" l="1"/>
  <c r="AQ995" i="2" s="1"/>
  <c r="BJ994" i="2"/>
  <c r="AT995" i="2" l="1"/>
  <c r="AU995" i="2"/>
  <c r="AR995" i="2"/>
  <c r="AX995" i="2" l="1"/>
  <c r="BC995" i="2"/>
  <c r="BG995" i="2"/>
  <c r="AY995" i="2"/>
  <c r="BF995" i="2"/>
  <c r="BB995" i="2"/>
  <c r="BI995" i="2" l="1"/>
  <c r="AT996" i="2" s="1"/>
  <c r="BJ995" i="2"/>
  <c r="AQ996" i="2" l="1"/>
  <c r="AR996" i="2"/>
  <c r="AU996" i="2"/>
  <c r="AX996" i="2" l="1"/>
  <c r="BB996" i="2"/>
  <c r="BF996" i="2"/>
  <c r="BC996" i="2"/>
  <c r="AY996" i="2"/>
  <c r="BG996" i="2"/>
  <c r="BI996" i="2" l="1"/>
  <c r="AT997" i="2" s="1"/>
  <c r="BJ996" i="2"/>
  <c r="AU997" i="2" s="1"/>
  <c r="AQ997" i="2" l="1"/>
  <c r="AR997" i="2"/>
  <c r="BB997" i="2" l="1"/>
  <c r="BG997" i="2"/>
  <c r="BC997" i="2"/>
  <c r="AY997" i="2"/>
  <c r="AX997" i="2"/>
  <c r="BF997" i="2"/>
  <c r="BI997" i="2" l="1"/>
  <c r="BJ997" i="2"/>
  <c r="AQ998" i="2"/>
  <c r="AT998" i="2"/>
  <c r="AR998" i="2"/>
  <c r="AU998" i="2"/>
  <c r="BC998" i="2" l="1"/>
  <c r="AY998" i="2"/>
  <c r="BG998" i="2"/>
  <c r="AX998" i="2"/>
  <c r="BB998" i="2"/>
  <c r="BF998" i="2"/>
  <c r="BJ998" i="2" l="1"/>
  <c r="AU999" i="2" s="1"/>
  <c r="BI998" i="2"/>
  <c r="AR999" i="2" l="1"/>
  <c r="AT999" i="2"/>
  <c r="AQ999" i="2"/>
  <c r="BC999" i="2" l="1"/>
  <c r="AY999" i="2"/>
  <c r="AX999" i="2"/>
  <c r="BB999" i="2"/>
  <c r="BG999" i="2"/>
  <c r="BF999" i="2"/>
  <c r="BJ999" i="2" l="1"/>
  <c r="BI999" i="2"/>
  <c r="AQ1000" i="2" s="1"/>
  <c r="AU1000" i="2"/>
  <c r="AR1000" i="2"/>
  <c r="AT1000" i="2" l="1"/>
  <c r="BF1000" i="2"/>
  <c r="AY1000" i="2"/>
  <c r="BG1000" i="2"/>
  <c r="BC1000" i="2"/>
  <c r="AX1000" i="2"/>
  <c r="BB1000" i="2"/>
  <c r="BJ1000" i="2" l="1"/>
  <c r="BI1000" i="2"/>
  <c r="AU1001" i="2" l="1"/>
  <c r="AR1001" i="2"/>
  <c r="AQ1001" i="2"/>
  <c r="AT1001" i="2"/>
  <c r="BF1001" i="2" l="1"/>
  <c r="AX1001" i="2"/>
  <c r="BB1001" i="2"/>
  <c r="BC1001" i="2"/>
  <c r="BG1001" i="2"/>
  <c r="AY1001" i="2"/>
  <c r="BJ1001" i="2" l="1"/>
  <c r="AR1002" i="2" s="1"/>
  <c r="BI1001" i="2"/>
  <c r="AU1002" i="2" l="1"/>
  <c r="AT1002" i="2"/>
  <c r="AQ1002" i="2"/>
  <c r="AX1002" i="2" l="1"/>
  <c r="BB1002" i="2"/>
  <c r="BF1002" i="2"/>
  <c r="BC1002" i="2"/>
  <c r="AY1002" i="2"/>
  <c r="BG1002" i="2"/>
  <c r="BJ1002" i="2" l="1"/>
  <c r="AU1003" i="2" s="1"/>
  <c r="BI1002" i="2"/>
  <c r="AT1003" i="2" s="1"/>
  <c r="AR1003" i="2" l="1"/>
  <c r="AQ1003" i="2"/>
  <c r="BC1003" i="2" l="1"/>
  <c r="AY1003" i="2"/>
  <c r="BG1003" i="2"/>
  <c r="AX1003" i="2"/>
  <c r="BF1003" i="2"/>
  <c r="BB1003" i="2"/>
  <c r="BJ1003" i="2" l="1"/>
  <c r="AU1004" i="2"/>
  <c r="AR1004" i="2"/>
  <c r="BI1003" i="2"/>
  <c r="AQ1004" i="2" l="1"/>
  <c r="AT1004" i="2"/>
  <c r="BB1004" i="2" l="1"/>
  <c r="AX1004" i="2"/>
  <c r="BC1004" i="2"/>
  <c r="BG1004" i="2"/>
  <c r="BF1004" i="2"/>
  <c r="AY1004" i="2"/>
  <c r="BI1004" i="2" l="1"/>
  <c r="BJ1004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<sst xmlns="http://schemas.openxmlformats.org/spreadsheetml/2006/main" count="133" uniqueCount="82">
  <si>
    <t>Itération</t>
  </si>
  <si>
    <t>x</t>
  </si>
  <si>
    <t>y</t>
  </si>
  <si>
    <t>Conditions Initiales de la simulation</t>
  </si>
  <si>
    <t>Paramètres généraux</t>
  </si>
  <si>
    <t>Base de temps</t>
  </si>
  <si>
    <t>secondes</t>
  </si>
  <si>
    <t>Ratio de la constante d'Aarseth</t>
  </si>
  <si>
    <t xml:space="preserve">	τ</t>
  </si>
  <si>
    <t>Λ</t>
  </si>
  <si>
    <t>Corps en mouvement</t>
  </si>
  <si>
    <t>masse</t>
  </si>
  <si>
    <t>Position initiale</t>
  </si>
  <si>
    <t>Accélération initiale</t>
  </si>
  <si>
    <t>Dimension</t>
  </si>
  <si>
    <t>Trois corps statiques</t>
  </si>
  <si>
    <t>Corps 1</t>
  </si>
  <si>
    <t>Position</t>
  </si>
  <si>
    <t>Rayon</t>
  </si>
  <si>
    <t>Masse volumique moyenne</t>
  </si>
  <si>
    <t>Volume</t>
  </si>
  <si>
    <t>Masse totale</t>
  </si>
  <si>
    <t>Constante d'Aarseth</t>
  </si>
  <si>
    <t>Corps 2</t>
  </si>
  <si>
    <t>Masse Volumique moyenne</t>
  </si>
  <si>
    <t>Corps 3</t>
  </si>
  <si>
    <t>m</t>
  </si>
  <si>
    <t>p</t>
  </si>
  <si>
    <t>ɑ</t>
  </si>
  <si>
    <t>s</t>
  </si>
  <si>
    <t>Attraction/Répulsion</t>
  </si>
  <si>
    <t>gramme</t>
  </si>
  <si>
    <t>mètre</t>
  </si>
  <si>
    <t>mètre/seconde</t>
  </si>
  <si>
    <r>
      <t>mètre/seconde</t>
    </r>
    <r>
      <rPr>
        <vertAlign val="superscript"/>
        <sz val="11"/>
        <color theme="1"/>
        <rFont val="Calibri"/>
        <family val="2"/>
        <scheme val="minor"/>
      </rPr>
      <t>2</t>
    </r>
  </si>
  <si>
    <t>-</t>
  </si>
  <si>
    <t>Cofficient de friction</t>
  </si>
  <si>
    <t>ƒ</t>
  </si>
  <si>
    <t>Attraction</t>
  </si>
  <si>
    <t>Départ</t>
  </si>
  <si>
    <t>Complément</t>
  </si>
  <si>
    <t>Fin</t>
  </si>
  <si>
    <t>Planète 1</t>
  </si>
  <si>
    <t>Planète 2</t>
  </si>
  <si>
    <t>Planète 3</t>
  </si>
  <si>
    <t>Position du vaisseau</t>
  </si>
  <si>
    <t>Vitesse en x</t>
  </si>
  <si>
    <t>Vitesse en y</t>
  </si>
  <si>
    <t>Accélération en X</t>
  </si>
  <si>
    <t>Planète A</t>
  </si>
  <si>
    <t>Accélération en y</t>
  </si>
  <si>
    <t>Planète B</t>
  </si>
  <si>
    <t>Planète C</t>
  </si>
  <si>
    <t>Total des accélérations</t>
  </si>
  <si>
    <t>Vitesse Initiale     v</t>
  </si>
  <si>
    <r>
      <t>q</t>
    </r>
    <r>
      <rPr>
        <vertAlign val="subscript"/>
        <sz val="12"/>
        <color theme="1"/>
        <rFont val="Calibri"/>
        <family val="2"/>
        <scheme val="minor"/>
      </rPr>
      <t>3xy</t>
    </r>
  </si>
  <si>
    <r>
      <t>r</t>
    </r>
    <r>
      <rPr>
        <vertAlign val="subscript"/>
        <sz val="12"/>
        <color theme="1"/>
        <rFont val="Calibri"/>
        <family val="2"/>
        <scheme val="minor"/>
      </rPr>
      <t>3</t>
    </r>
  </si>
  <si>
    <r>
      <t>ρ</t>
    </r>
    <r>
      <rPr>
        <vertAlign val="subscript"/>
        <sz val="12"/>
        <color theme="1"/>
        <rFont val="Calibri"/>
        <family val="2"/>
        <scheme val="minor"/>
      </rPr>
      <t>3</t>
    </r>
  </si>
  <si>
    <r>
      <t>gramme/mètre</t>
    </r>
    <r>
      <rPr>
        <vertAlign val="superscript"/>
        <sz val="12"/>
        <color theme="1"/>
        <rFont val="Calibri"/>
        <family val="2"/>
        <scheme val="minor"/>
      </rPr>
      <t>3</t>
    </r>
  </si>
  <si>
    <r>
      <t>V</t>
    </r>
    <r>
      <rPr>
        <vertAlign val="subscript"/>
        <sz val="12"/>
        <color theme="1" tint="0.499984740745262"/>
        <rFont val="Calibri"/>
        <family val="2"/>
        <scheme val="minor"/>
      </rPr>
      <t>3</t>
    </r>
  </si>
  <si>
    <r>
      <t>mètre</t>
    </r>
    <r>
      <rPr>
        <vertAlign val="superscript"/>
        <sz val="12"/>
        <color theme="1" tint="0.499984740745262"/>
        <rFont val="Calibri"/>
        <family val="2"/>
        <scheme val="minor"/>
      </rPr>
      <t>3</t>
    </r>
  </si>
  <si>
    <r>
      <t>M</t>
    </r>
    <r>
      <rPr>
        <vertAlign val="subscript"/>
        <sz val="12"/>
        <color theme="1" tint="0.499984740745262"/>
        <rFont val="Calibri"/>
        <family val="2"/>
        <scheme val="minor"/>
      </rPr>
      <t>3</t>
    </r>
  </si>
  <si>
    <r>
      <t>λ</t>
    </r>
    <r>
      <rPr>
        <vertAlign val="subscript"/>
        <sz val="12"/>
        <color theme="1" tint="0.499984740745262"/>
        <rFont val="Calibri"/>
        <family val="2"/>
        <scheme val="minor"/>
      </rPr>
      <t>3</t>
    </r>
  </si>
  <si>
    <r>
      <t>ω</t>
    </r>
    <r>
      <rPr>
        <vertAlign val="subscript"/>
        <sz val="12"/>
        <color theme="1"/>
        <rFont val="Calibri"/>
        <family val="2"/>
        <scheme val="minor"/>
      </rPr>
      <t>3</t>
    </r>
  </si>
  <si>
    <r>
      <t>q</t>
    </r>
    <r>
      <rPr>
        <vertAlign val="subscript"/>
        <sz val="12"/>
        <color theme="1"/>
        <rFont val="Calibri"/>
        <family val="2"/>
        <scheme val="minor"/>
      </rPr>
      <t>2xy</t>
    </r>
  </si>
  <si>
    <r>
      <t>r</t>
    </r>
    <r>
      <rPr>
        <vertAlign val="subscript"/>
        <sz val="12"/>
        <color theme="1"/>
        <rFont val="Calibri"/>
        <family val="2"/>
        <scheme val="minor"/>
      </rPr>
      <t>2</t>
    </r>
  </si>
  <si>
    <r>
      <t>ρ</t>
    </r>
    <r>
      <rPr>
        <vertAlign val="subscript"/>
        <sz val="12"/>
        <color theme="1"/>
        <rFont val="Calibri"/>
        <family val="2"/>
        <scheme val="minor"/>
      </rPr>
      <t>2</t>
    </r>
  </si>
  <si>
    <r>
      <t>V</t>
    </r>
    <r>
      <rPr>
        <vertAlign val="subscript"/>
        <sz val="12"/>
        <color theme="1" tint="0.499984740745262"/>
        <rFont val="Calibri"/>
        <family val="2"/>
        <scheme val="minor"/>
      </rPr>
      <t>2</t>
    </r>
  </si>
  <si>
    <r>
      <t>M</t>
    </r>
    <r>
      <rPr>
        <vertAlign val="subscript"/>
        <sz val="12"/>
        <color theme="1" tint="0.499984740745262"/>
        <rFont val="Calibri"/>
        <family val="2"/>
        <scheme val="minor"/>
      </rPr>
      <t>2</t>
    </r>
  </si>
  <si>
    <r>
      <t>λ</t>
    </r>
    <r>
      <rPr>
        <vertAlign val="subscript"/>
        <sz val="12"/>
        <color theme="1" tint="0.499984740745262"/>
        <rFont val="Calibri"/>
        <family val="2"/>
        <scheme val="minor"/>
      </rPr>
      <t>2</t>
    </r>
  </si>
  <si>
    <r>
      <t>ω</t>
    </r>
    <r>
      <rPr>
        <vertAlign val="subscript"/>
        <sz val="12"/>
        <color theme="1"/>
        <rFont val="Calibri"/>
        <family val="2"/>
        <scheme val="minor"/>
      </rPr>
      <t>2</t>
    </r>
  </si>
  <si>
    <r>
      <t>q</t>
    </r>
    <r>
      <rPr>
        <vertAlign val="subscript"/>
        <sz val="12"/>
        <color theme="1"/>
        <rFont val="Calibri"/>
        <family val="2"/>
        <scheme val="minor"/>
      </rPr>
      <t>1xy</t>
    </r>
  </si>
  <si>
    <r>
      <t>r</t>
    </r>
    <r>
      <rPr>
        <vertAlign val="subscript"/>
        <sz val="12"/>
        <color theme="1"/>
        <rFont val="Calibri"/>
        <family val="2"/>
        <scheme val="minor"/>
      </rPr>
      <t>1</t>
    </r>
  </si>
  <si>
    <r>
      <t>ρ</t>
    </r>
    <r>
      <rPr>
        <vertAlign val="subscript"/>
        <sz val="12"/>
        <color theme="1"/>
        <rFont val="Calibri"/>
        <family val="2"/>
        <scheme val="minor"/>
      </rPr>
      <t>1</t>
    </r>
  </si>
  <si>
    <r>
      <t>V</t>
    </r>
    <r>
      <rPr>
        <vertAlign val="subscript"/>
        <sz val="12"/>
        <color theme="1" tint="0.499984740745262"/>
        <rFont val="Calibri"/>
        <family val="2"/>
        <scheme val="minor"/>
      </rPr>
      <t>1</t>
    </r>
  </si>
  <si>
    <r>
      <t>M</t>
    </r>
    <r>
      <rPr>
        <vertAlign val="subscript"/>
        <sz val="12"/>
        <color theme="1" tint="0.499984740745262"/>
        <rFont val="Calibri"/>
        <family val="2"/>
        <scheme val="minor"/>
      </rPr>
      <t>1</t>
    </r>
  </si>
  <si>
    <r>
      <t>λ</t>
    </r>
    <r>
      <rPr>
        <vertAlign val="subscript"/>
        <sz val="12"/>
        <color theme="1" tint="0.499984740745262"/>
        <rFont val="Calibri"/>
        <family val="2"/>
        <scheme val="minor"/>
      </rPr>
      <t>1</t>
    </r>
  </si>
  <si>
    <r>
      <t>ω</t>
    </r>
    <r>
      <rPr>
        <vertAlign val="subscript"/>
        <sz val="12"/>
        <color theme="1"/>
        <rFont val="Calibri"/>
        <family val="2"/>
        <scheme val="minor"/>
      </rPr>
      <t>1</t>
    </r>
  </si>
  <si>
    <t>Trail</t>
  </si>
  <si>
    <r>
      <t>Pour mettre en pause la simulation, maintenir 'Échappe', pour continuer, cliquer sur '</t>
    </r>
    <r>
      <rPr>
        <u/>
        <sz val="9"/>
        <color theme="0" tint="-0.499984740745262"/>
        <rFont val="Calibri"/>
        <family val="2"/>
        <scheme val="minor"/>
      </rPr>
      <t>C</t>
    </r>
    <r>
      <rPr>
        <sz val="9"/>
        <color theme="0" tint="-0.499984740745262"/>
        <rFont val="Calibri"/>
        <family val="2"/>
        <scheme val="minor"/>
      </rPr>
      <t>ontinuer' et pour arrêter la simuation, appuyer sur '</t>
    </r>
    <r>
      <rPr>
        <u/>
        <sz val="9"/>
        <color theme="0" tint="-0.499984740745262"/>
        <rFont val="Calibri"/>
        <family val="2"/>
        <scheme val="minor"/>
      </rPr>
      <t>F</t>
    </r>
    <r>
      <rPr>
        <sz val="9"/>
        <color theme="0" tint="-0.499984740745262"/>
        <rFont val="Calibri"/>
        <family val="2"/>
        <scheme val="minor"/>
      </rPr>
      <t>in'</t>
    </r>
  </si>
  <si>
    <t>Représentation des planètes et de la trajectoire du vaisseau</t>
  </si>
  <si>
    <t>Simulation de la trajectoire du vaisseau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</si>
</sst>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2" x14ac:knownFonts="1">
    <font>
      <sz val="11"/>
      <color theme="1"/>
      <name val="Calibri"/>
      <family val="2"/>
      <scheme val="minor"/>
    </font>
    <font>
      <sz val="12"/>
      <color rgb="FF202124"/>
      <name val="Arial"/>
      <family val="2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 tint="0.499984740745262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vertAlign val="subscript"/>
      <sz val="12"/>
      <color theme="1" tint="0.499984740745262"/>
      <name val="Calibri"/>
      <family val="2"/>
      <scheme val="minor"/>
    </font>
    <font>
      <vertAlign val="superscript"/>
      <sz val="12"/>
      <color theme="1" tint="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u/>
      <sz val="9"/>
      <color theme="0" tint="-0.499984740745262"/>
      <name val="Calibri"/>
      <family val="2"/>
      <scheme val="minor"/>
    </font>
    <font>
      <b/>
      <sz val="22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D9D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116E9"/>
        <bgColor indexed="64"/>
      </patternFill>
    </fill>
    <fill>
      <patternFill patternType="solid">
        <fgColor rgb="FFD7F1FD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7" fillId="0" borderId="0" applyFont="0" applyFill="0" applyBorder="0" applyAlignment="0" applyProtection="0"/>
  </cellStyleXfs>
  <cellXfs count="19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 applyAlignment="1"/>
    <xf numFmtId="0" fontId="0" fillId="3" borderId="0" xfId="0" applyFill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left" vertical="center"/>
    </xf>
    <xf numFmtId="0" fontId="4" fillId="5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3" borderId="0" xfId="0" applyFill="1"/>
    <xf numFmtId="0" fontId="0" fillId="7" borderId="2" xfId="0" applyFill="1" applyBorder="1" applyAlignment="1">
      <alignment horizontal="center"/>
    </xf>
    <xf numFmtId="0" fontId="5" fillId="7" borderId="2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6" borderId="9" xfId="0" applyFill="1" applyBorder="1" applyAlignment="1">
      <alignment horizontal="left" vertical="center"/>
    </xf>
    <xf numFmtId="0" fontId="0" fillId="6" borderId="5" xfId="0" applyFill="1" applyBorder="1"/>
    <xf numFmtId="0" fontId="0" fillId="0" borderId="6" xfId="0" applyBorder="1" applyAlignment="1">
      <alignment horizontal="center"/>
    </xf>
    <xf numFmtId="0" fontId="5" fillId="9" borderId="0" xfId="0" applyFont="1" applyFill="1" applyAlignment="1">
      <alignment horizontal="center"/>
    </xf>
    <xf numFmtId="0" fontId="0" fillId="9" borderId="2" xfId="0" applyFill="1" applyBorder="1" applyAlignment="1">
      <alignment horizontal="center"/>
    </xf>
    <xf numFmtId="0" fontId="5" fillId="9" borderId="2" xfId="0" applyFont="1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8" borderId="9" xfId="0" applyFill="1" applyBorder="1"/>
    <xf numFmtId="0" fontId="0" fillId="8" borderId="9" xfId="0" applyFill="1" applyBorder="1" applyAlignment="1">
      <alignment horizontal="center"/>
    </xf>
    <xf numFmtId="0" fontId="0" fillId="8" borderId="9" xfId="0" applyFill="1" applyBorder="1" applyAlignment="1">
      <alignment horizontal="left"/>
    </xf>
    <xf numFmtId="0" fontId="0" fillId="8" borderId="5" xfId="0" applyFill="1" applyBorder="1"/>
    <xf numFmtId="0" fontId="0" fillId="7" borderId="0" xfId="0" applyFill="1" applyBorder="1" applyAlignment="1">
      <alignment horizontal="center"/>
    </xf>
    <xf numFmtId="0" fontId="5" fillId="7" borderId="0" xfId="0" applyFont="1" applyFill="1" applyBorder="1" applyAlignment="1">
      <alignment horizontal="center"/>
    </xf>
    <xf numFmtId="0" fontId="0" fillId="0" borderId="6" xfId="0" applyBorder="1"/>
    <xf numFmtId="0" fontId="0" fillId="7" borderId="5" xfId="0" applyFill="1" applyBorder="1"/>
    <xf numFmtId="0" fontId="5" fillId="9" borderId="0" xfId="0" applyFont="1" applyFill="1" applyBorder="1" applyAlignment="1">
      <alignment horizontal="center"/>
    </xf>
    <xf numFmtId="0" fontId="0" fillId="9" borderId="5" xfId="0" applyFill="1" applyBorder="1"/>
    <xf numFmtId="0" fontId="5" fillId="11" borderId="0" xfId="0" applyFont="1" applyFill="1" applyAlignment="1">
      <alignment horizontal="center"/>
    </xf>
    <xf numFmtId="0" fontId="5" fillId="11" borderId="2" xfId="0" applyFont="1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/>
    <xf numFmtId="0" fontId="0" fillId="10" borderId="9" xfId="0" applyFill="1" applyBorder="1"/>
    <xf numFmtId="0" fontId="0" fillId="10" borderId="9" xfId="0" applyFill="1" applyBorder="1" applyAlignment="1">
      <alignment horizontal="center"/>
    </xf>
    <xf numFmtId="0" fontId="0" fillId="10" borderId="9" xfId="0" applyFill="1" applyBorder="1" applyAlignment="1">
      <alignment horizontal="left"/>
    </xf>
    <xf numFmtId="0" fontId="0" fillId="10" borderId="5" xfId="0" applyFill="1" applyBorder="1"/>
    <xf numFmtId="0" fontId="0" fillId="14" borderId="0" xfId="0" applyFill="1"/>
    <xf numFmtId="0" fontId="0" fillId="14" borderId="0" xfId="0" applyFill="1" applyAlignment="1">
      <alignment horizontal="center"/>
    </xf>
    <xf numFmtId="0" fontId="0" fillId="14" borderId="0" xfId="0" applyFill="1" applyAlignment="1">
      <alignment horizontal="left"/>
    </xf>
    <xf numFmtId="0" fontId="0" fillId="14" borderId="0" xfId="0" applyFill="1" applyAlignment="1">
      <alignment horizontal="left" vertical="center"/>
    </xf>
    <xf numFmtId="0" fontId="0" fillId="14" borderId="2" xfId="0" applyFill="1" applyBorder="1"/>
    <xf numFmtId="0" fontId="0" fillId="5" borderId="2" xfId="0" applyFill="1" applyBorder="1"/>
    <xf numFmtId="0" fontId="0" fillId="14" borderId="4" xfId="0" applyFill="1" applyBorder="1"/>
    <xf numFmtId="0" fontId="2" fillId="14" borderId="4" xfId="0" applyFont="1" applyFill="1" applyBorder="1" applyAlignment="1">
      <alignment horizontal="center"/>
    </xf>
    <xf numFmtId="0" fontId="0" fillId="14" borderId="5" xfId="0" applyFill="1" applyBorder="1"/>
    <xf numFmtId="0" fontId="0" fillId="5" borderId="4" xfId="0" applyFill="1" applyBorder="1"/>
    <xf numFmtId="0" fontId="1" fillId="5" borderId="4" xfId="0" applyFont="1" applyFill="1" applyBorder="1" applyAlignment="1">
      <alignment horizontal="center"/>
    </xf>
    <xf numFmtId="0" fontId="0" fillId="5" borderId="5" xfId="0" applyFill="1" applyBorder="1"/>
    <xf numFmtId="0" fontId="0" fillId="13" borderId="9" xfId="0" applyFill="1" applyBorder="1"/>
    <xf numFmtId="0" fontId="0" fillId="13" borderId="5" xfId="0" applyFill="1" applyBorder="1"/>
    <xf numFmtId="0" fontId="6" fillId="4" borderId="9" xfId="0" applyFont="1" applyFill="1" applyBorder="1"/>
    <xf numFmtId="0" fontId="0" fillId="12" borderId="9" xfId="0" applyFill="1" applyBorder="1"/>
    <xf numFmtId="0" fontId="0" fillId="12" borderId="5" xfId="0" applyFill="1" applyBorder="1"/>
    <xf numFmtId="0" fontId="0" fillId="14" borderId="11" xfId="0" applyFill="1" applyBorder="1" applyAlignment="1">
      <alignment horizontal="center"/>
    </xf>
    <xf numFmtId="0" fontId="0" fillId="14" borderId="13" xfId="0" applyFill="1" applyBorder="1" applyAlignment="1">
      <alignment horizontal="center"/>
    </xf>
    <xf numFmtId="0" fontId="0" fillId="0" borderId="4" xfId="0" applyBorder="1"/>
    <xf numFmtId="0" fontId="10" fillId="6" borderId="8" xfId="0" applyFont="1" applyFill="1" applyBorder="1"/>
    <xf numFmtId="0" fontId="11" fillId="13" borderId="8" xfId="0" applyFont="1" applyFill="1" applyBorder="1"/>
    <xf numFmtId="0" fontId="10" fillId="8" borderId="8" xfId="0" applyFont="1" applyFill="1" applyBorder="1"/>
    <xf numFmtId="0" fontId="10" fillId="10" borderId="8" xfId="0" applyFont="1" applyFill="1" applyBorder="1"/>
    <xf numFmtId="0" fontId="10" fillId="4" borderId="8" xfId="0" applyFont="1" applyFill="1" applyBorder="1"/>
    <xf numFmtId="0" fontId="8" fillId="5" borderId="6" xfId="0" applyFont="1" applyFill="1" applyBorder="1"/>
    <xf numFmtId="0" fontId="8" fillId="14" borderId="6" xfId="0" applyFont="1" applyFill="1" applyBorder="1"/>
    <xf numFmtId="0" fontId="8" fillId="7" borderId="6" xfId="0" applyFont="1" applyFill="1" applyBorder="1"/>
    <xf numFmtId="0" fontId="12" fillId="7" borderId="6" xfId="0" applyFont="1" applyFill="1" applyBorder="1"/>
    <xf numFmtId="0" fontId="8" fillId="9" borderId="6" xfId="0" applyFont="1" applyFill="1" applyBorder="1"/>
    <xf numFmtId="0" fontId="12" fillId="9" borderId="6" xfId="0" applyFont="1" applyFill="1" applyBorder="1"/>
    <xf numFmtId="0" fontId="8" fillId="11" borderId="6" xfId="0" applyFont="1" applyFill="1" applyBorder="1"/>
    <xf numFmtId="0" fontId="8" fillId="11" borderId="0" xfId="0" applyFont="1" applyFill="1"/>
    <xf numFmtId="0" fontId="8" fillId="11" borderId="0" xfId="0" applyFont="1" applyFill="1" applyAlignment="1">
      <alignment horizontal="right"/>
    </xf>
    <xf numFmtId="0" fontId="8" fillId="11" borderId="12" xfId="0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8" fillId="11" borderId="0" xfId="0" applyFont="1" applyFill="1" applyAlignment="1">
      <alignment horizontal="left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center"/>
    </xf>
    <xf numFmtId="0" fontId="12" fillId="0" borderId="0" xfId="0" applyFont="1"/>
    <xf numFmtId="0" fontId="12" fillId="11" borderId="6" xfId="0" applyFont="1" applyFill="1" applyBorder="1"/>
    <xf numFmtId="0" fontId="12" fillId="11" borderId="0" xfId="0" applyFont="1" applyFill="1" applyAlignment="1">
      <alignment horizontal="center"/>
    </xf>
    <xf numFmtId="0" fontId="8" fillId="11" borderId="4" xfId="0" applyFont="1" applyFill="1" applyBorder="1"/>
    <xf numFmtId="0" fontId="8" fillId="11" borderId="4" xfId="0" applyFont="1" applyFill="1" applyBorder="1" applyAlignment="1">
      <alignment horizontal="left"/>
    </xf>
    <xf numFmtId="0" fontId="8" fillId="11" borderId="4" xfId="0" applyFont="1" applyFill="1" applyBorder="1" applyAlignment="1">
      <alignment horizontal="center"/>
    </xf>
    <xf numFmtId="0" fontId="8" fillId="9" borderId="0" xfId="0" applyFont="1" applyFill="1"/>
    <xf numFmtId="0" fontId="8" fillId="9" borderId="0" xfId="0" applyFont="1" applyFill="1" applyAlignment="1">
      <alignment horizontal="right"/>
    </xf>
    <xf numFmtId="0" fontId="8" fillId="9" borderId="12" xfId="0" applyFont="1" applyFill="1" applyBorder="1" applyAlignment="1">
      <alignment horizontal="center"/>
    </xf>
    <xf numFmtId="0" fontId="8" fillId="9" borderId="2" xfId="0" applyFont="1" applyFill="1" applyBorder="1" applyAlignment="1">
      <alignment horizontal="center"/>
    </xf>
    <xf numFmtId="0" fontId="8" fillId="9" borderId="0" xfId="0" applyFont="1" applyFill="1" applyAlignment="1">
      <alignment horizontal="left"/>
    </xf>
    <xf numFmtId="0" fontId="8" fillId="9" borderId="0" xfId="0" applyFont="1" applyFill="1" applyAlignment="1">
      <alignment horizontal="left" vertical="center"/>
    </xf>
    <xf numFmtId="0" fontId="8" fillId="9" borderId="0" xfId="0" applyFont="1" applyFill="1" applyAlignment="1">
      <alignment horizontal="center"/>
    </xf>
    <xf numFmtId="0" fontId="8" fillId="9" borderId="0" xfId="0" applyFont="1" applyFill="1" applyBorder="1" applyAlignment="1">
      <alignment horizontal="center"/>
    </xf>
    <xf numFmtId="0" fontId="12" fillId="9" borderId="0" xfId="0" applyFont="1" applyFill="1" applyAlignment="1">
      <alignment horizontal="center"/>
    </xf>
    <xf numFmtId="0" fontId="12" fillId="9" borderId="0" xfId="0" applyFont="1" applyFill="1" applyAlignment="1">
      <alignment horizontal="left"/>
    </xf>
    <xf numFmtId="0" fontId="8" fillId="9" borderId="4" xfId="0" applyFont="1" applyFill="1" applyBorder="1"/>
    <xf numFmtId="0" fontId="8" fillId="9" borderId="4" xfId="0" applyFont="1" applyFill="1" applyBorder="1" applyAlignment="1">
      <alignment horizontal="left"/>
    </xf>
    <xf numFmtId="0" fontId="8" fillId="9" borderId="4" xfId="0" applyFont="1" applyFill="1" applyBorder="1" applyAlignment="1">
      <alignment horizontal="center"/>
    </xf>
    <xf numFmtId="0" fontId="8" fillId="7" borderId="0" xfId="0" applyFont="1" applyFill="1"/>
    <xf numFmtId="0" fontId="8" fillId="7" borderId="0" xfId="0" applyFont="1" applyFill="1" applyAlignment="1">
      <alignment horizontal="right"/>
    </xf>
    <xf numFmtId="0" fontId="8" fillId="7" borderId="10" xfId="0" applyFont="1" applyFill="1" applyBorder="1" applyAlignment="1">
      <alignment horizontal="center"/>
    </xf>
    <xf numFmtId="0" fontId="8" fillId="7" borderId="12" xfId="0" applyFont="1" applyFill="1" applyBorder="1" applyAlignment="1">
      <alignment horizontal="center"/>
    </xf>
    <xf numFmtId="0" fontId="8" fillId="7" borderId="0" xfId="0" applyFont="1" applyFill="1" applyAlignment="1">
      <alignment horizontal="left"/>
    </xf>
    <xf numFmtId="0" fontId="8" fillId="7" borderId="0" xfId="0" applyFont="1" applyFill="1" applyAlignment="1">
      <alignment horizontal="left" vertical="center"/>
    </xf>
    <xf numFmtId="0" fontId="8" fillId="7" borderId="0" xfId="0" applyFont="1" applyFill="1" applyAlignment="1">
      <alignment horizontal="center"/>
    </xf>
    <xf numFmtId="0" fontId="12" fillId="7" borderId="0" xfId="0" applyFont="1" applyFill="1" applyAlignment="1">
      <alignment horizontal="left"/>
    </xf>
    <xf numFmtId="0" fontId="8" fillId="7" borderId="4" xfId="0" applyFont="1" applyFill="1" applyBorder="1"/>
    <xf numFmtId="0" fontId="8" fillId="7" borderId="4" xfId="0" applyFont="1" applyFill="1" applyBorder="1" applyAlignment="1">
      <alignment horizontal="left"/>
    </xf>
    <xf numFmtId="0" fontId="2" fillId="14" borderId="0" xfId="0" applyFont="1" applyFill="1" applyAlignment="1">
      <alignment horizontal="center"/>
    </xf>
    <xf numFmtId="0" fontId="0" fillId="7" borderId="0" xfId="0" applyFill="1"/>
    <xf numFmtId="0" fontId="0" fillId="9" borderId="0" xfId="0" applyFill="1"/>
    <xf numFmtId="0" fontId="0" fillId="11" borderId="0" xfId="0" applyFill="1"/>
    <xf numFmtId="0" fontId="12" fillId="11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11" fillId="0" borderId="0" xfId="0" applyFont="1" applyAlignment="1">
      <alignment vertical="center"/>
    </xf>
    <xf numFmtId="2" fontId="0" fillId="0" borderId="0" xfId="0" applyNumberFormat="1"/>
    <xf numFmtId="164" fontId="18" fillId="0" borderId="0" xfId="1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8" fillId="7" borderId="6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0" fillId="14" borderId="6" xfId="0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14" borderId="4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12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center" vertical="center"/>
    </xf>
    <xf numFmtId="0" fontId="8" fillId="11" borderId="0" xfId="0" applyFont="1" applyFill="1" applyBorder="1" applyAlignment="1">
      <alignment horizontal="center" vertical="center"/>
    </xf>
    <xf numFmtId="0" fontId="8" fillId="11" borderId="2" xfId="0" applyFont="1" applyFill="1" applyBorder="1" applyAlignment="1">
      <alignment horizontal="center" vertical="center"/>
    </xf>
    <xf numFmtId="0" fontId="8" fillId="9" borderId="0" xfId="0" applyFont="1" applyFill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8" fillId="9" borderId="7" xfId="0" applyFont="1" applyFill="1" applyBorder="1" applyAlignment="1">
      <alignment horizontal="center"/>
    </xf>
    <xf numFmtId="0" fontId="8" fillId="9" borderId="11" xfId="0" applyFont="1" applyFill="1" applyBorder="1" applyAlignment="1">
      <alignment horizontal="center"/>
    </xf>
    <xf numFmtId="0" fontId="8" fillId="7" borderId="6" xfId="0" applyFont="1" applyFill="1" applyBorder="1" applyAlignment="1">
      <alignment horizontal="center"/>
    </xf>
    <xf numFmtId="0" fontId="8" fillId="7" borderId="3" xfId="0" applyFont="1" applyFill="1" applyBorder="1" applyAlignment="1">
      <alignment horizontal="center"/>
    </xf>
    <xf numFmtId="0" fontId="12" fillId="7" borderId="7" xfId="0" applyFont="1" applyFill="1" applyBorder="1" applyAlignment="1">
      <alignment horizontal="center"/>
    </xf>
    <xf numFmtId="0" fontId="12" fillId="7" borderId="11" xfId="0" applyFont="1" applyFill="1" applyBorder="1" applyAlignment="1">
      <alignment horizontal="center"/>
    </xf>
    <xf numFmtId="0" fontId="8" fillId="11" borderId="7" xfId="0" applyFont="1" applyFill="1" applyBorder="1" applyAlignment="1">
      <alignment horizontal="center"/>
    </xf>
    <xf numFmtId="0" fontId="8" fillId="11" borderId="11" xfId="0" applyFont="1" applyFill="1" applyBorder="1" applyAlignment="1">
      <alignment horizontal="center"/>
    </xf>
    <xf numFmtId="0" fontId="8" fillId="9" borderId="6" xfId="0" applyFont="1" applyFill="1" applyBorder="1" applyAlignment="1">
      <alignment horizontal="center"/>
    </xf>
    <xf numFmtId="0" fontId="8" fillId="9" borderId="3" xfId="0" applyFont="1" applyFill="1" applyBorder="1" applyAlignment="1">
      <alignment horizontal="center"/>
    </xf>
    <xf numFmtId="0" fontId="12" fillId="9" borderId="7" xfId="0" applyFont="1" applyFill="1" applyBorder="1" applyAlignment="1">
      <alignment horizontal="center"/>
    </xf>
    <xf numFmtId="0" fontId="12" fillId="9" borderId="11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8" fillId="11" borderId="3" xfId="0" applyFont="1" applyFill="1" applyBorder="1" applyAlignment="1">
      <alignment horizontal="center"/>
    </xf>
    <xf numFmtId="0" fontId="12" fillId="11" borderId="7" xfId="0" applyFont="1" applyFill="1" applyBorder="1" applyAlignment="1">
      <alignment horizontal="center"/>
    </xf>
    <xf numFmtId="0" fontId="12" fillId="11" borderId="1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8" fillId="7" borderId="7" xfId="0" applyFont="1" applyFill="1" applyBorder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19" fillId="0" borderId="0" xfId="0" applyFont="1" applyAlignment="1">
      <alignment horizontal="left"/>
    </xf>
    <xf numFmtId="0" fontId="9" fillId="0" borderId="0" xfId="0" applyFont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FFD9D9"/>
      <color rgb="FFD7F1FD"/>
      <color rgb="FFFFFFCC"/>
      <color rgb="FF1116E9"/>
      <color rgb="FFFFAFAF"/>
      <color rgb="FFF28A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41556166089484"/>
          <c:y val="8.2531839560323422E-2"/>
          <c:w val="0.83814910715461943"/>
          <c:h val="0.84096196868008943"/>
        </c:manualLayout>
      </c:layout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Données!$AI$5:$AI$37</c:f>
              <c:numCache>
                <c:formatCode>General</c:formatCode>
                <c:ptCount val="33"/>
                <c:pt idx="0">
                  <c:v>25000</c:v>
                </c:pt>
                <c:pt idx="1">
                  <c:v>24903.92640201615</c:v>
                </c:pt>
                <c:pt idx="2">
                  <c:v>24619.397662556432</c:v>
                </c:pt>
                <c:pt idx="3">
                  <c:v>24157.348061512726</c:v>
                </c:pt>
                <c:pt idx="4">
                  <c:v>23535.533905932738</c:v>
                </c:pt>
                <c:pt idx="5">
                  <c:v>22777.851165098011</c:v>
                </c:pt>
                <c:pt idx="6">
                  <c:v>21913.417161825448</c:v>
                </c:pt>
                <c:pt idx="7">
                  <c:v>20975.451610080643</c:v>
                </c:pt>
                <c:pt idx="8">
                  <c:v>20000</c:v>
                </c:pt>
                <c:pt idx="9">
                  <c:v>19024.54838991936</c:v>
                </c:pt>
                <c:pt idx="10">
                  <c:v>18086.582838174552</c:v>
                </c:pt>
                <c:pt idx="11">
                  <c:v>17222.148834901989</c:v>
                </c:pt>
                <c:pt idx="12">
                  <c:v>16464.466094067262</c:v>
                </c:pt>
                <c:pt idx="13">
                  <c:v>15842.651938487274</c:v>
                </c:pt>
                <c:pt idx="14">
                  <c:v>15380.602337443564</c:v>
                </c:pt>
                <c:pt idx="15">
                  <c:v>15096.073597983846</c:v>
                </c:pt>
                <c:pt idx="16">
                  <c:v>15000</c:v>
                </c:pt>
                <c:pt idx="17">
                  <c:v>15096.07359798385</c:v>
                </c:pt>
                <c:pt idx="18">
                  <c:v>15380.602337443568</c:v>
                </c:pt>
                <c:pt idx="19">
                  <c:v>15842.651938487277</c:v>
                </c:pt>
                <c:pt idx="20">
                  <c:v>16464.466094067269</c:v>
                </c:pt>
                <c:pt idx="21">
                  <c:v>17222.148834901996</c:v>
                </c:pt>
                <c:pt idx="22">
                  <c:v>18086.58283817456</c:v>
                </c:pt>
                <c:pt idx="23">
                  <c:v>19024.548389919371</c:v>
                </c:pt>
                <c:pt idx="24">
                  <c:v>20000.000000000011</c:v>
                </c:pt>
                <c:pt idx="25">
                  <c:v>20975.451610080654</c:v>
                </c:pt>
                <c:pt idx="26">
                  <c:v>21913.417161825462</c:v>
                </c:pt>
                <c:pt idx="27">
                  <c:v>22777.851165098025</c:v>
                </c:pt>
                <c:pt idx="28">
                  <c:v>23535.533905932749</c:v>
                </c:pt>
                <c:pt idx="29">
                  <c:v>24157.348061512737</c:v>
                </c:pt>
                <c:pt idx="30">
                  <c:v>24619.397662556439</c:v>
                </c:pt>
                <c:pt idx="31">
                  <c:v>24903.926402016157</c:v>
                </c:pt>
                <c:pt idx="32">
                  <c:v>25000</c:v>
                </c:pt>
              </c:numCache>
            </c:numRef>
          </c:xVal>
          <c:yVal>
            <c:numRef>
              <c:f>Données!$AJ$5:$AJ$37</c:f>
              <c:numCache>
                <c:formatCode>General</c:formatCode>
                <c:ptCount val="33"/>
                <c:pt idx="0">
                  <c:v>7500</c:v>
                </c:pt>
                <c:pt idx="1">
                  <c:v>8475.4516100806413</c:v>
                </c:pt>
                <c:pt idx="2">
                  <c:v>9413.4171618254495</c:v>
                </c:pt>
                <c:pt idx="3">
                  <c:v>10277.851165098011</c:v>
                </c:pt>
                <c:pt idx="4">
                  <c:v>11035.533905932738</c:v>
                </c:pt>
                <c:pt idx="5">
                  <c:v>11657.348061512726</c:v>
                </c:pt>
                <c:pt idx="6">
                  <c:v>12119.397662556434</c:v>
                </c:pt>
                <c:pt idx="7">
                  <c:v>12403.926402016152</c:v>
                </c:pt>
                <c:pt idx="8">
                  <c:v>12500</c:v>
                </c:pt>
                <c:pt idx="9">
                  <c:v>12403.926402016152</c:v>
                </c:pt>
                <c:pt idx="10">
                  <c:v>12119.397662556434</c:v>
                </c:pt>
                <c:pt idx="11">
                  <c:v>11657.348061512726</c:v>
                </c:pt>
                <c:pt idx="12">
                  <c:v>11035.533905932738</c:v>
                </c:pt>
                <c:pt idx="13">
                  <c:v>10277.851165098011</c:v>
                </c:pt>
                <c:pt idx="14">
                  <c:v>9413.4171618254477</c:v>
                </c:pt>
                <c:pt idx="15">
                  <c:v>8475.4516100806395</c:v>
                </c:pt>
                <c:pt idx="16">
                  <c:v>7499.9999999999964</c:v>
                </c:pt>
                <c:pt idx="17">
                  <c:v>6524.5483899193541</c:v>
                </c:pt>
                <c:pt idx="18">
                  <c:v>5586.582838174545</c:v>
                </c:pt>
                <c:pt idx="19">
                  <c:v>4722.1488349019828</c:v>
                </c:pt>
                <c:pt idx="20">
                  <c:v>3964.4660940672566</c:v>
                </c:pt>
                <c:pt idx="21">
                  <c:v>3342.651938487269</c:v>
                </c:pt>
                <c:pt idx="22">
                  <c:v>2880.6023374435626</c:v>
                </c:pt>
                <c:pt idx="23">
                  <c:v>2596.0735979838455</c:v>
                </c:pt>
                <c:pt idx="24">
                  <c:v>2500</c:v>
                </c:pt>
                <c:pt idx="25">
                  <c:v>2596.073597983851</c:v>
                </c:pt>
                <c:pt idx="26">
                  <c:v>2880.6023374435717</c:v>
                </c:pt>
                <c:pt idx="27">
                  <c:v>3342.6519384872827</c:v>
                </c:pt>
                <c:pt idx="28">
                  <c:v>3964.4660940672743</c:v>
                </c:pt>
                <c:pt idx="29">
                  <c:v>4722.1488349020037</c:v>
                </c:pt>
                <c:pt idx="30">
                  <c:v>5586.5828381745687</c:v>
                </c:pt>
                <c:pt idx="31">
                  <c:v>6524.5483899193787</c:v>
                </c:pt>
                <c:pt idx="32">
                  <c:v>7500.0000000000209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D8-4666-BF2F-E55EE2BFE34E}"/>
            </c:ext>
          </c:extLst>
        </c:ser>
        <c:ser>
          <c:idx val="1"/>
          <c:order val="1"/>
          <c:spPr>
            <a:ln w="317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Données!$AK$5:$AK$37</c:f>
              <c:numCache>
                <c:formatCode>General</c:formatCode>
                <c:ptCount val="33"/>
                <c:pt idx="0">
                  <c:v>-16500</c:v>
                </c:pt>
                <c:pt idx="1">
                  <c:v>-16567.251518588695</c:v>
                </c:pt>
                <c:pt idx="2">
                  <c:v>-16766.421636210496</c:v>
                </c:pt>
                <c:pt idx="3">
                  <c:v>-17089.856356941091</c:v>
                </c:pt>
                <c:pt idx="4">
                  <c:v>-17525.126265847084</c:v>
                </c:pt>
                <c:pt idx="5">
                  <c:v>-18055.504184431393</c:v>
                </c:pt>
                <c:pt idx="6">
                  <c:v>-18660.607986722185</c:v>
                </c:pt>
                <c:pt idx="7">
                  <c:v>-19317.183872943551</c:v>
                </c:pt>
                <c:pt idx="8">
                  <c:v>-20000</c:v>
                </c:pt>
                <c:pt idx="9">
                  <c:v>-20682.816127056449</c:v>
                </c:pt>
                <c:pt idx="10">
                  <c:v>-21339.392013277815</c:v>
                </c:pt>
                <c:pt idx="11">
                  <c:v>-21944.495815568607</c:v>
                </c:pt>
                <c:pt idx="12">
                  <c:v>-22474.873734152916</c:v>
                </c:pt>
                <c:pt idx="13">
                  <c:v>-22910.143643058909</c:v>
                </c:pt>
                <c:pt idx="14">
                  <c:v>-23233.578363789504</c:v>
                </c:pt>
                <c:pt idx="15">
                  <c:v>-23432.748481411305</c:v>
                </c:pt>
                <c:pt idx="16">
                  <c:v>-23500</c:v>
                </c:pt>
                <c:pt idx="17">
                  <c:v>-23432.748481411305</c:v>
                </c:pt>
                <c:pt idx="18">
                  <c:v>-23233.5783637895</c:v>
                </c:pt>
                <c:pt idx="19">
                  <c:v>-22910.143643058906</c:v>
                </c:pt>
                <c:pt idx="20">
                  <c:v>-22474.873734152912</c:v>
                </c:pt>
                <c:pt idx="21">
                  <c:v>-21944.495815568604</c:v>
                </c:pt>
                <c:pt idx="22">
                  <c:v>-21339.392013277808</c:v>
                </c:pt>
                <c:pt idx="23">
                  <c:v>-20682.816127056441</c:v>
                </c:pt>
                <c:pt idx="24">
                  <c:v>-19999.999999999993</c:v>
                </c:pt>
                <c:pt idx="25">
                  <c:v>-19317.18387294354</c:v>
                </c:pt>
                <c:pt idx="26">
                  <c:v>-18660.607986722178</c:v>
                </c:pt>
                <c:pt idx="27">
                  <c:v>-18055.504184431382</c:v>
                </c:pt>
                <c:pt idx="28">
                  <c:v>-17525.126265847077</c:v>
                </c:pt>
                <c:pt idx="29">
                  <c:v>-17089.856356941084</c:v>
                </c:pt>
                <c:pt idx="30">
                  <c:v>-16766.421636210493</c:v>
                </c:pt>
                <c:pt idx="31">
                  <c:v>-16567.251518588691</c:v>
                </c:pt>
                <c:pt idx="32">
                  <c:v>-16500</c:v>
                </c:pt>
              </c:numCache>
            </c:numRef>
          </c:xVal>
          <c:yVal>
            <c:numRef>
              <c:f>Données!$AL$5:$AL$37</c:f>
              <c:numCache>
                <c:formatCode>General</c:formatCode>
                <c:ptCount val="33"/>
                <c:pt idx="0">
                  <c:v>10000</c:v>
                </c:pt>
                <c:pt idx="1">
                  <c:v>10682.816127056449</c:v>
                </c:pt>
                <c:pt idx="2">
                  <c:v>11339.392013277815</c:v>
                </c:pt>
                <c:pt idx="3">
                  <c:v>11944.495815568607</c:v>
                </c:pt>
                <c:pt idx="4">
                  <c:v>12474.873734152916</c:v>
                </c:pt>
                <c:pt idx="5">
                  <c:v>12910.143643058909</c:v>
                </c:pt>
                <c:pt idx="6">
                  <c:v>13233.578363789504</c:v>
                </c:pt>
                <c:pt idx="7">
                  <c:v>13432.748481411307</c:v>
                </c:pt>
                <c:pt idx="8">
                  <c:v>13500</c:v>
                </c:pt>
                <c:pt idx="9">
                  <c:v>13432.748481411307</c:v>
                </c:pt>
                <c:pt idx="10">
                  <c:v>13233.578363789504</c:v>
                </c:pt>
                <c:pt idx="11">
                  <c:v>12910.143643058909</c:v>
                </c:pt>
                <c:pt idx="12">
                  <c:v>12474.873734152916</c:v>
                </c:pt>
                <c:pt idx="13">
                  <c:v>11944.495815568607</c:v>
                </c:pt>
                <c:pt idx="14">
                  <c:v>11339.392013277813</c:v>
                </c:pt>
                <c:pt idx="15">
                  <c:v>10682.816127056447</c:v>
                </c:pt>
                <c:pt idx="16">
                  <c:v>9999.9999999999982</c:v>
                </c:pt>
                <c:pt idx="17">
                  <c:v>9317.1838729435476</c:v>
                </c:pt>
                <c:pt idx="18">
                  <c:v>8660.6079867221815</c:v>
                </c:pt>
                <c:pt idx="19">
                  <c:v>8055.5041844313882</c:v>
                </c:pt>
                <c:pt idx="20">
                  <c:v>7525.1262658470796</c:v>
                </c:pt>
                <c:pt idx="21">
                  <c:v>7089.8563569410881</c:v>
                </c:pt>
                <c:pt idx="22">
                  <c:v>6766.4216362104935</c:v>
                </c:pt>
                <c:pt idx="23">
                  <c:v>6567.2515185886914</c:v>
                </c:pt>
                <c:pt idx="24">
                  <c:v>6500</c:v>
                </c:pt>
                <c:pt idx="25">
                  <c:v>6567.251518588695</c:v>
                </c:pt>
                <c:pt idx="26">
                  <c:v>6766.4216362104999</c:v>
                </c:pt>
                <c:pt idx="27">
                  <c:v>7089.8563569410981</c:v>
                </c:pt>
                <c:pt idx="28">
                  <c:v>7525.1262658470914</c:v>
                </c:pt>
                <c:pt idx="29">
                  <c:v>8055.5041844314028</c:v>
                </c:pt>
                <c:pt idx="30">
                  <c:v>8660.6079867221979</c:v>
                </c:pt>
                <c:pt idx="31">
                  <c:v>9317.183872943564</c:v>
                </c:pt>
                <c:pt idx="32">
                  <c:v>10000.000000000015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D8-4666-BF2F-E55EE2BFE34E}"/>
            </c:ext>
          </c:extLst>
        </c:ser>
        <c:ser>
          <c:idx val="2"/>
          <c:order val="2"/>
          <c:spPr>
            <a:ln w="31750" cap="rnd">
              <a:solidFill>
                <a:srgbClr val="1116E9"/>
              </a:solidFill>
              <a:round/>
            </a:ln>
            <a:effectLst/>
          </c:spPr>
          <c:marker>
            <c:symbol val="none"/>
          </c:marker>
          <c:xVal>
            <c:numRef>
              <c:f>Données!$AM$5:$AM$37</c:f>
              <c:numCache>
                <c:formatCode>General</c:formatCode>
                <c:ptCount val="33"/>
                <c:pt idx="0">
                  <c:v>0</c:v>
                </c:pt>
                <c:pt idx="1">
                  <c:v>-96.073597983848231</c:v>
                </c:pt>
                <c:pt idx="2">
                  <c:v>-380.60233744356628</c:v>
                </c:pt>
                <c:pt idx="3">
                  <c:v>-842.65193848727358</c:v>
                </c:pt>
                <c:pt idx="4">
                  <c:v>-1464.466094067262</c:v>
                </c:pt>
                <c:pt idx="5">
                  <c:v>-2222.1488349019887</c:v>
                </c:pt>
                <c:pt idx="6">
                  <c:v>-3086.5828381745505</c:v>
                </c:pt>
                <c:pt idx="7">
                  <c:v>-4024.5483899193582</c:v>
                </c:pt>
                <c:pt idx="8">
                  <c:v>-5000</c:v>
                </c:pt>
                <c:pt idx="9">
                  <c:v>-5975.4516100806413</c:v>
                </c:pt>
                <c:pt idx="10">
                  <c:v>-6913.4171618254486</c:v>
                </c:pt>
                <c:pt idx="11">
                  <c:v>-7777.8511650980099</c:v>
                </c:pt>
                <c:pt idx="12">
                  <c:v>-8535.533905932738</c:v>
                </c:pt>
                <c:pt idx="13">
                  <c:v>-9157.3480615127264</c:v>
                </c:pt>
                <c:pt idx="14">
                  <c:v>-9619.3976625564355</c:v>
                </c:pt>
                <c:pt idx="15">
                  <c:v>-9903.9264020161536</c:v>
                </c:pt>
                <c:pt idx="16">
                  <c:v>-10000</c:v>
                </c:pt>
                <c:pt idx="17">
                  <c:v>-9903.92640201615</c:v>
                </c:pt>
                <c:pt idx="18">
                  <c:v>-9619.3976625564319</c:v>
                </c:pt>
                <c:pt idx="19">
                  <c:v>-9157.3480615127228</c:v>
                </c:pt>
                <c:pt idx="20">
                  <c:v>-8535.5339059327307</c:v>
                </c:pt>
                <c:pt idx="21">
                  <c:v>-7777.8511650980035</c:v>
                </c:pt>
                <c:pt idx="22">
                  <c:v>-6913.4171618254395</c:v>
                </c:pt>
                <c:pt idx="23">
                  <c:v>-5975.4516100806304</c:v>
                </c:pt>
                <c:pt idx="24">
                  <c:v>-4999.9999999999873</c:v>
                </c:pt>
                <c:pt idx="25">
                  <c:v>-4024.5483899193455</c:v>
                </c:pt>
                <c:pt idx="26">
                  <c:v>-3086.5828381745378</c:v>
                </c:pt>
                <c:pt idx="27">
                  <c:v>-2222.148834901976</c:v>
                </c:pt>
                <c:pt idx="28">
                  <c:v>-1464.4660940672507</c:v>
                </c:pt>
                <c:pt idx="29">
                  <c:v>-842.65193848726358</c:v>
                </c:pt>
                <c:pt idx="30">
                  <c:v>-380.60233744355901</c:v>
                </c:pt>
                <c:pt idx="31">
                  <c:v>-96.073597983843683</c:v>
                </c:pt>
                <c:pt idx="32">
                  <c:v>0</c:v>
                </c:pt>
              </c:numCache>
            </c:numRef>
          </c:xVal>
          <c:yVal>
            <c:numRef>
              <c:f>Données!$AN$5:$AN$37</c:f>
              <c:numCache>
                <c:formatCode>General</c:formatCode>
                <c:ptCount val="33"/>
                <c:pt idx="0">
                  <c:v>-15000</c:v>
                </c:pt>
                <c:pt idx="1">
                  <c:v>-14024.548389919359</c:v>
                </c:pt>
                <c:pt idx="2">
                  <c:v>-13086.58283817455</c:v>
                </c:pt>
                <c:pt idx="3">
                  <c:v>-12222.148834901989</c:v>
                </c:pt>
                <c:pt idx="4">
                  <c:v>-11464.466094067262</c:v>
                </c:pt>
                <c:pt idx="5">
                  <c:v>-10842.651938487274</c:v>
                </c:pt>
                <c:pt idx="6">
                  <c:v>-10380.602337443566</c:v>
                </c:pt>
                <c:pt idx="7">
                  <c:v>-10096.073597983848</c:v>
                </c:pt>
                <c:pt idx="8">
                  <c:v>-10000</c:v>
                </c:pt>
                <c:pt idx="9">
                  <c:v>-10096.073597983848</c:v>
                </c:pt>
                <c:pt idx="10">
                  <c:v>-10380.602337443566</c:v>
                </c:pt>
                <c:pt idx="11">
                  <c:v>-10842.651938487274</c:v>
                </c:pt>
                <c:pt idx="12">
                  <c:v>-11464.466094067262</c:v>
                </c:pt>
                <c:pt idx="13">
                  <c:v>-12222.148834901989</c:v>
                </c:pt>
                <c:pt idx="14">
                  <c:v>-13086.582838174552</c:v>
                </c:pt>
                <c:pt idx="15">
                  <c:v>-14024.54838991936</c:v>
                </c:pt>
                <c:pt idx="16">
                  <c:v>-15000.000000000004</c:v>
                </c:pt>
                <c:pt idx="17">
                  <c:v>-15975.451610080647</c:v>
                </c:pt>
                <c:pt idx="18">
                  <c:v>-16913.417161825455</c:v>
                </c:pt>
                <c:pt idx="19">
                  <c:v>-17777.851165098018</c:v>
                </c:pt>
                <c:pt idx="20">
                  <c:v>-18535.533905932745</c:v>
                </c:pt>
                <c:pt idx="21">
                  <c:v>-19157.34806151273</c:v>
                </c:pt>
                <c:pt idx="22">
                  <c:v>-19619.397662556439</c:v>
                </c:pt>
                <c:pt idx="23">
                  <c:v>-19903.926402016154</c:v>
                </c:pt>
                <c:pt idx="24">
                  <c:v>-20000</c:v>
                </c:pt>
                <c:pt idx="25">
                  <c:v>-19903.92640201615</c:v>
                </c:pt>
                <c:pt idx="26">
                  <c:v>-19619.397662556428</c:v>
                </c:pt>
                <c:pt idx="27">
                  <c:v>-19157.348061512719</c:v>
                </c:pt>
                <c:pt idx="28">
                  <c:v>-18535.533905932727</c:v>
                </c:pt>
                <c:pt idx="29">
                  <c:v>-17777.851165097996</c:v>
                </c:pt>
                <c:pt idx="30">
                  <c:v>-16913.417161825433</c:v>
                </c:pt>
                <c:pt idx="31">
                  <c:v>-15975.451610080621</c:v>
                </c:pt>
                <c:pt idx="32">
                  <c:v>-14999.999999999978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D8-4666-BF2F-E55EE2BFE34E}"/>
            </c:ext>
          </c:extLst>
        </c:ser>
        <c:ser>
          <c:idx val="3"/>
          <c:order val="3"/>
          <c:tx>
            <c:v>xy</c:v>
          </c:tx>
          <c:spPr>
            <a:ln w="6350" cap="rnd" cmpd="sng">
              <a:solidFill>
                <a:schemeClr val="accent4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Données!$AQ$5:$AQ$1004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14.896066662928291</c:v>
                </c:pt>
                <c:pt idx="3">
                  <c:v>58.763346006098644</c:v>
                </c:pt>
                <c:pt idx="4">
                  <c:v>128.22405865783489</c:v>
                </c:pt>
                <c:pt idx="5">
                  <c:v>216.13974170265223</c:v>
                </c:pt>
                <c:pt idx="6">
                  <c:v>310.8275007689482</c:v>
                </c:pt>
                <c:pt idx="7">
                  <c:v>394.85512702817846</c:v>
                </c:pt>
                <c:pt idx="8">
                  <c:v>443.40662540911188</c:v>
                </c:pt>
                <c:pt idx="9">
                  <c:v>422.25807997629971</c:v>
                </c:pt>
                <c:pt idx="10">
                  <c:v>285.58924200038126</c:v>
                </c:pt>
                <c:pt idx="11">
                  <c:v>-25.47744782958749</c:v>
                </c:pt>
                <c:pt idx="12">
                  <c:v>-580.59478059598268</c:v>
                </c:pt>
                <c:pt idx="13">
                  <c:v>-1446.1464434887998</c:v>
                </c:pt>
                <c:pt idx="14">
                  <c:v>-2648.2099956923216</c:v>
                </c:pt>
                <c:pt idx="15">
                  <c:v>-4125.8644659824413</c:v>
                </c:pt>
                <c:pt idx="16">
                  <c:v>-5735.1009192843467</c:v>
                </c:pt>
                <c:pt idx="17">
                  <c:v>-7317.9869908901273</c:v>
                </c:pt>
                <c:pt idx="18">
                  <c:v>-8758.1165401914823</c:v>
                </c:pt>
                <c:pt idx="19">
                  <c:v>-9982.2828998172135</c:v>
                </c:pt>
                <c:pt idx="20">
                  <c:v>-10941.137467635344</c:v>
                </c:pt>
                <c:pt idx="21">
                  <c:v>-11593.405098906624</c:v>
                </c:pt>
                <c:pt idx="22">
                  <c:v>-11896.399138700093</c:v>
                </c:pt>
                <c:pt idx="23">
                  <c:v>-11800.869060891881</c:v>
                </c:pt>
                <c:pt idx="24">
                  <c:v>-11250.644764132247</c:v>
                </c:pt>
                <c:pt idx="25">
                  <c:v>-10192.927132982946</c:v>
                </c:pt>
                <c:pt idx="26">
                  <c:v>-8610.6561923647605</c:v>
                </c:pt>
                <c:pt idx="27">
                  <c:v>-6573.0130698725152</c:v>
                </c:pt>
                <c:pt idx="28">
                  <c:v>-4245.5807942716783</c:v>
                </c:pt>
                <c:pt idx="29">
                  <c:v>-1814.6060313898693</c:v>
                </c:pt>
                <c:pt idx="30">
                  <c:v>597.78138509711505</c:v>
                </c:pt>
                <c:pt idx="31">
                  <c:v>2948.2328775483861</c:v>
                </c:pt>
                <c:pt idx="32">
                  <c:v>5245.4913349528433</c:v>
                </c:pt>
                <c:pt idx="33">
                  <c:v>7525.9718963109763</c:v>
                </c:pt>
                <c:pt idx="34">
                  <c:v>9840.1718597083254</c:v>
                </c:pt>
                <c:pt idx="35">
                  <c:v>12244.943311125375</c:v>
                </c:pt>
                <c:pt idx="36">
                  <c:v>14794.875574956384</c:v>
                </c:pt>
                <c:pt idx="37">
                  <c:v>17522.598329195542</c:v>
                </c:pt>
                <c:pt idx="38">
                  <c:v>20391.64218548893</c:v>
                </c:pt>
                <c:pt idx="39">
                  <c:v>23230.194083354556</c:v>
                </c:pt>
                <c:pt idx="40">
                  <c:v>25761.361344867055</c:v>
                </c:pt>
                <c:pt idx="41">
                  <c:v>27780.405187877052</c:v>
                </c:pt>
                <c:pt idx="42">
                  <c:v>29248.402756937081</c:v>
                </c:pt>
                <c:pt idx="43">
                  <c:v>30215.812704338721</c:v>
                </c:pt>
                <c:pt idx="44">
                  <c:v>30745.101259605588</c:v>
                </c:pt>
                <c:pt idx="45">
                  <c:v>30886.790392534062</c:v>
                </c:pt>
                <c:pt idx="46">
                  <c:v>30677.461320887352</c:v>
                </c:pt>
                <c:pt idx="47">
                  <c:v>30142.303506834935</c:v>
                </c:pt>
                <c:pt idx="48">
                  <c:v>29297.777533785254</c:v>
                </c:pt>
                <c:pt idx="49">
                  <c:v>28153.785104550818</c:v>
                </c:pt>
                <c:pt idx="50">
                  <c:v>26715.716662999967</c:v>
                </c:pt>
                <c:pt idx="51">
                  <c:v>24987.318013590684</c:v>
                </c:pt>
                <c:pt idx="52">
                  <c:v>22976.472539850311</c:v>
                </c:pt>
                <c:pt idx="53">
                  <c:v>20708.650299308498</c:v>
                </c:pt>
                <c:pt idx="54">
                  <c:v>18256.048790721692</c:v>
                </c:pt>
                <c:pt idx="55">
                  <c:v>15777.152184099641</c:v>
                </c:pt>
                <c:pt idx="56">
                  <c:v>13493.520434419943</c:v>
                </c:pt>
                <c:pt idx="57">
                  <c:v>11547.047691312609</c:v>
                </c:pt>
                <c:pt idx="58">
                  <c:v>9910.9609676595464</c:v>
                </c:pt>
                <c:pt idx="59">
                  <c:v>8462.8099801477892</c:v>
                </c:pt>
                <c:pt idx="60">
                  <c:v>7068.3084532837611</c:v>
                </c:pt>
                <c:pt idx="61">
                  <c:v>5601.6989169080998</c:v>
                </c:pt>
                <c:pt idx="62">
                  <c:v>3940.3522252461744</c:v>
                </c:pt>
                <c:pt idx="63">
                  <c:v>1962.7825789155343</c:v>
                </c:pt>
                <c:pt idx="64">
                  <c:v>-425.67914039393622</c:v>
                </c:pt>
                <c:pt idx="65">
                  <c:v>-3217.9260129038776</c:v>
                </c:pt>
                <c:pt idx="66">
                  <c:v>-6247.2286321004676</c:v>
                </c:pt>
                <c:pt idx="67">
                  <c:v>-9274.100194129669</c:v>
                </c:pt>
                <c:pt idx="68">
                  <c:v>-12128.453483572152</c:v>
                </c:pt>
                <c:pt idx="69">
                  <c:v>-14737.842895389407</c:v>
                </c:pt>
                <c:pt idx="70">
                  <c:v>-17083.83013509776</c:v>
                </c:pt>
                <c:pt idx="71">
                  <c:v>-19168.468262468403</c:v>
                </c:pt>
                <c:pt idx="72">
                  <c:v>-20999.620327114168</c:v>
                </c:pt>
                <c:pt idx="73">
                  <c:v>-22585.524596538991</c:v>
                </c:pt>
                <c:pt idx="74">
                  <c:v>-23932.944997394778</c:v>
                </c:pt>
                <c:pt idx="75">
                  <c:v>-25046.625394282721</c:v>
                </c:pt>
                <c:pt idx="76">
                  <c:v>-25929.195097656382</c:v>
                </c:pt>
                <c:pt idx="77">
                  <c:v>-26581.209700666575</c:v>
                </c:pt>
                <c:pt idx="78">
                  <c:v>-27001.212118284333</c:v>
                </c:pt>
                <c:pt idx="79">
                  <c:v>-27185.776855785422</c:v>
                </c:pt>
                <c:pt idx="80">
                  <c:v>-27129.53501534908</c:v>
                </c:pt>
                <c:pt idx="81">
                  <c:v>-26825.199751947504</c:v>
                </c:pt>
                <c:pt idx="82">
                  <c:v>-26263.637906131462</c:v>
                </c:pt>
                <c:pt idx="83">
                  <c:v>-25434.077422908027</c:v>
                </c:pt>
                <c:pt idx="84">
                  <c:v>-24324.621588823764</c:v>
                </c:pt>
                <c:pt idx="85">
                  <c:v>-22923.391257415995</c:v>
                </c:pt>
                <c:pt idx="86">
                  <c:v>-21220.874935733202</c:v>
                </c:pt>
                <c:pt idx="87">
                  <c:v>-19214.425290645147</c:v>
                </c:pt>
                <c:pt idx="88">
                  <c:v>-16915.94311473894</c:v>
                </c:pt>
                <c:pt idx="89">
                  <c:v>-14361.983954495023</c:v>
                </c:pt>
                <c:pt idx="90">
                  <c:v>-11618.596008084798</c:v>
                </c:pt>
                <c:pt idx="91">
                  <c:v>-8766.2728338616271</c:v>
                </c:pt>
                <c:pt idx="92">
                  <c:v>-5866.9099992251859</c:v>
                </c:pt>
                <c:pt idx="93">
                  <c:v>-2942.0499743311307</c:v>
                </c:pt>
                <c:pt idx="94">
                  <c:v>23.217842275519004</c:v>
                </c:pt>
                <c:pt idx="95">
                  <c:v>3067.3982624695623</c:v>
                </c:pt>
                <c:pt idx="96">
                  <c:v>6244.5152794715905</c:v>
                </c:pt>
                <c:pt idx="97">
                  <c:v>9619.9472014953553</c:v>
                </c:pt>
                <c:pt idx="98">
                  <c:v>13261.688861181219</c:v>
                </c:pt>
                <c:pt idx="99">
                  <c:v>17207.795860301732</c:v>
                </c:pt>
                <c:pt idx="100">
                  <c:v>21382.897160050252</c:v>
                </c:pt>
                <c:pt idx="101">
                  <c:v>25527.78077629552</c:v>
                </c:pt>
                <c:pt idx="102">
                  <c:v>29332.539046254096</c:v>
                </c:pt>
                <c:pt idx="103">
                  <c:v>32647.263301223793</c:v>
                </c:pt>
                <c:pt idx="104">
                  <c:v>35481.327162436683</c:v>
                </c:pt>
                <c:pt idx="105">
                  <c:v>37895.804187629357</c:v>
                </c:pt>
                <c:pt idx="106">
                  <c:v>39951.161291287666</c:v>
                </c:pt>
                <c:pt idx="107">
                  <c:v>41696.165858058477</c:v>
                </c:pt>
                <c:pt idx="108">
                  <c:v>43168.476126795031</c:v>
                </c:pt>
                <c:pt idx="109">
                  <c:v>44397.134301028374</c:v>
                </c:pt>
                <c:pt idx="110">
                  <c:v>45404.779111356846</c:v>
                </c:pt>
                <c:pt idx="111">
                  <c:v>46209.290956353441</c:v>
                </c:pt>
                <c:pt idx="112">
                  <c:v>46824.965117994565</c:v>
                </c:pt>
                <c:pt idx="113">
                  <c:v>47263.345217037277</c:v>
                </c:pt>
                <c:pt idx="114">
                  <c:v>47533.820692212023</c:v>
                </c:pt>
                <c:pt idx="115">
                  <c:v>47644.060809449678</c:v>
                </c:pt>
                <c:pt idx="116">
                  <c:v>47600.334290622573</c:v>
                </c:pt>
                <c:pt idx="117">
                  <c:v>47407.747696504819</c:v>
                </c:pt>
                <c:pt idx="118">
                  <c:v>47070.425113676385</c:v>
                </c:pt>
                <c:pt idx="119">
                  <c:v>46591.644691714275</c:v>
                </c:pt>
                <c:pt idx="120">
                  <c:v>45973.942911833263</c:v>
                </c:pt>
                <c:pt idx="121">
                  <c:v>45219.19432925601</c:v>
                </c:pt>
                <c:pt idx="122">
                  <c:v>44328.672399005227</c:v>
                </c:pt>
                <c:pt idx="123">
                  <c:v>43303.095535654662</c:v>
                </c:pt>
                <c:pt idx="124">
                  <c:v>42142.66155569171</c:v>
                </c:pt>
                <c:pt idx="125">
                  <c:v>40847.072959609563</c:v>
                </c:pt>
                <c:pt idx="126">
                  <c:v>39415.555016026396</c:v>
                </c:pt>
                <c:pt idx="127">
                  <c:v>37846.868195775642</c:v>
                </c:pt>
                <c:pt idx="128">
                  <c:v>36139.316000434112</c:v>
                </c:pt>
                <c:pt idx="129">
                  <c:v>34290.748323709806</c:v>
                </c:pt>
                <c:pt idx="130">
                  <c:v>32298.55854116059</c:v>
                </c:pt>
                <c:pt idx="131">
                  <c:v>30159.668235803783</c:v>
                </c:pt>
                <c:pt idx="132">
                  <c:v>27870.484161495482</c:v>
                </c:pt>
                <c:pt idx="133">
                  <c:v>25426.792396760069</c:v>
                </c:pt>
                <c:pt idx="134">
                  <c:v>22823.514518605502</c:v>
                </c:pt>
                <c:pt idx="135">
                  <c:v>20054.172441458981</c:v>
                </c:pt>
                <c:pt idx="136">
                  <c:v>17109.767905522025</c:v>
                </c:pt>
                <c:pt idx="137">
                  <c:v>13976.569983366018</c:v>
                </c:pt>
                <c:pt idx="138">
                  <c:v>10632.139535992434</c:v>
                </c:pt>
                <c:pt idx="139">
                  <c:v>7039.53931143915</c:v>
                </c:pt>
                <c:pt idx="140">
                  <c:v>3144.2746556387519</c:v>
                </c:pt>
                <c:pt idx="141">
                  <c:v>-1103.205492741828</c:v>
                </c:pt>
                <c:pt idx="142">
                  <c:v>-5651.6796163047784</c:v>
                </c:pt>
                <c:pt idx="143">
                  <c:v>-10261.000359272408</c:v>
                </c:pt>
                <c:pt idx="144">
                  <c:v>-14656.030853970356</c:v>
                </c:pt>
                <c:pt idx="145">
                  <c:v>-18722.601056919393</c:v>
                </c:pt>
                <c:pt idx="146">
                  <c:v>-22464.5231000899</c:v>
                </c:pt>
                <c:pt idx="147">
                  <c:v>-25906.86548292181</c:v>
                </c:pt>
                <c:pt idx="148">
                  <c:v>-29069.38747312142</c:v>
                </c:pt>
                <c:pt idx="149">
                  <c:v>-31969.259979033566</c:v>
                </c:pt>
                <c:pt idx="150">
                  <c:v>-34624.614037957399</c:v>
                </c:pt>
                <c:pt idx="151">
                  <c:v>-37054.470478276489</c:v>
                </c:pt>
                <c:pt idx="152">
                  <c:v>-39277.398102828913</c:v>
                </c:pt>
                <c:pt idx="153">
                  <c:v>-41310.485900574778</c:v>
                </c:pt>
                <c:pt idx="154">
                  <c:v>-43168.898096942416</c:v>
                </c:pt>
                <c:pt idx="155">
                  <c:v>-44865.82603051341</c:v>
                </c:pt>
                <c:pt idx="156">
                  <c:v>-46412.634897716518</c:v>
                </c:pt>
                <c:pt idx="157">
                  <c:v>-47819.080258969901</c:v>
                </c:pt>
                <c:pt idx="158">
                  <c:v>-49093.531711713804</c:v>
                </c:pt>
                <c:pt idx="159">
                  <c:v>-50243.177200357677</c:v>
                </c:pt>
                <c:pt idx="160">
                  <c:v>-51274.199432570298</c:v>
                </c:pt>
                <c:pt idx="161">
                  <c:v>-52191.923969737218</c:v>
                </c:pt>
                <c:pt idx="162">
                  <c:v>-53000.94174630323</c:v>
                </c:pt>
                <c:pt idx="163">
                  <c:v>-53705.209683984351</c:v>
                </c:pt>
                <c:pt idx="164">
                  <c:v>-54308.133001649439</c:v>
                </c:pt>
                <c:pt idx="165">
                  <c:v>-54812.632391269712</c:v>
                </c:pt>
                <c:pt idx="166">
                  <c:v>-55221.19870854124</c:v>
                </c:pt>
                <c:pt idx="167">
                  <c:v>-55535.937327036241</c:v>
                </c:pt>
                <c:pt idx="168">
                  <c:v>-55758.603866520032</c:v>
                </c:pt>
                <c:pt idx="169">
                  <c:v>-55890.632636227703</c:v>
                </c:pt>
                <c:pt idx="170">
                  <c:v>-55933.158825954306</c:v>
                </c:pt>
                <c:pt idx="171">
                  <c:v>-55887.035220721613</c:v>
                </c:pt>
                <c:pt idx="172">
                  <c:v>-55752.843996612115</c:v>
                </c:pt>
                <c:pt idx="173">
                  <c:v>-55530.903964618068</c:v>
                </c:pt>
                <c:pt idx="174">
                  <c:v>-55221.27345518682</c:v>
                </c:pt>
                <c:pt idx="175">
                  <c:v>-54823.748867977178</c:v>
                </c:pt>
                <c:pt idx="176">
                  <c:v>-54337.8587381873</c:v>
                </c:pt>
                <c:pt idx="177">
                  <c:v>-53762.852980297001</c:v>
                </c:pt>
                <c:pt idx="178">
                  <c:v>-53097.686747075859</c:v>
                </c:pt>
                <c:pt idx="179">
                  <c:v>-52340.998066483429</c:v>
                </c:pt>
                <c:pt idx="180">
                  <c:v>-51491.078064388341</c:v>
                </c:pt>
                <c:pt idx="181">
                  <c:v>-50545.832107814516</c:v>
                </c:pt>
                <c:pt idx="182">
                  <c:v>-49502.729554076192</c:v>
                </c:pt>
                <c:pt idx="183">
                  <c:v>-48358.738878742581</c:v>
                </c:pt>
                <c:pt idx="184">
                  <c:v>-47110.243646266797</c:v>
                </c:pt>
                <c:pt idx="185">
                  <c:v>-45752.932873099853</c:v>
                </c:pt>
                <c:pt idx="186">
                  <c:v>-44281.656486952961</c:v>
                </c:pt>
                <c:pt idx="187">
                  <c:v>-42690.232294230591</c:v>
                </c:pt>
                <c:pt idx="188">
                  <c:v>-40971.184344462978</c:v>
                </c:pt>
                <c:pt idx="189">
                  <c:v>-39115.382717544489</c:v>
                </c:pt>
                <c:pt idx="190">
                  <c:v>-37111.540408014342</c:v>
                </c:pt>
                <c:pt idx="191">
                  <c:v>-34945.504856969434</c:v>
                </c:pt>
                <c:pt idx="192">
                  <c:v>-32599.271441605142</c:v>
                </c:pt>
                <c:pt idx="193">
                  <c:v>-30049.707072000983</c:v>
                </c:pt>
                <c:pt idx="194">
                  <c:v>-27267.401590482972</c:v>
                </c:pt>
                <c:pt idx="195">
                  <c:v>-24218.212106042189</c:v>
                </c:pt>
                <c:pt idx="196">
                  <c:v>-20879.229067165063</c:v>
                </c:pt>
                <c:pt idx="197">
                  <c:v>-17302.009455560383</c:v>
                </c:pt>
                <c:pt idx="198">
                  <c:v>-13680.662973434146</c:v>
                </c:pt>
                <c:pt idx="199">
                  <c:v>-10198.136658302054</c:v>
                </c:pt>
                <c:pt idx="200">
                  <c:v>-6853.480021458824</c:v>
                </c:pt>
                <c:pt idx="201">
                  <c:v>-3554.319591121794</c:v>
                </c:pt>
                <c:pt idx="202">
                  <c:v>-230.11510165536114</c:v>
                </c:pt>
                <c:pt idx="203">
                  <c:v>3144.6834798967329</c:v>
                </c:pt>
                <c:pt idx="204">
                  <c:v>6547.3655718174268</c:v>
                </c:pt>
                <c:pt idx="205">
                  <c:v>9914.6877992778172</c:v>
                </c:pt>
                <c:pt idx="206">
                  <c:v>13170.429555345452</c:v>
                </c:pt>
                <c:pt idx="207">
                  <c:v>16258.192591736108</c:v>
                </c:pt>
                <c:pt idx="208">
                  <c:v>19154.204773718902</c:v>
                </c:pt>
                <c:pt idx="209">
                  <c:v>21859.322395553736</c:v>
                </c:pt>
                <c:pt idx="210">
                  <c:v>24386.329671337546</c:v>
                </c:pt>
                <c:pt idx="211">
                  <c:v>26751.573464909048</c:v>
                </c:pt>
                <c:pt idx="212">
                  <c:v>28971.099094632667</c:v>
                </c:pt>
                <c:pt idx="213">
                  <c:v>31059.281313902888</c:v>
                </c:pt>
                <c:pt idx="214">
                  <c:v>33028.544222236953</c:v>
                </c:pt>
                <c:pt idx="215">
                  <c:v>34889.487105351393</c:v>
                </c:pt>
                <c:pt idx="216">
                  <c:v>36651.129040377054</c:v>
                </c:pt>
                <c:pt idx="217">
                  <c:v>38321.16230877264</c:v>
                </c:pt>
                <c:pt idx="218">
                  <c:v>39906.177760245628</c:v>
                </c:pt>
                <c:pt idx="219">
                  <c:v>41411.853820699354</c:v>
                </c:pt>
                <c:pt idx="220">
                  <c:v>42843.111138432054</c:v>
                </c:pt>
                <c:pt idx="221">
                  <c:v>44204.237916509235</c:v>
                </c:pt>
                <c:pt idx="222">
                  <c:v>45498.991290988364</c:v>
                </c:pt>
                <c:pt idx="223">
                  <c:v>46730.679500695776</c:v>
                </c:pt>
                <c:pt idx="224">
                  <c:v>47902.228765195519</c:v>
                </c:pt>
                <c:pt idx="225">
                  <c:v>49016.238002478975</c:v>
                </c:pt>
                <c:pt idx="226">
                  <c:v>50075.023854487736</c:v>
                </c:pt>
                <c:pt idx="227">
                  <c:v>51080.657955094561</c:v>
                </c:pt>
                <c:pt idx="228">
                  <c:v>52034.997956109408</c:v>
                </c:pt>
                <c:pt idx="229">
                  <c:v>52939.713501219798</c:v>
                </c:pt>
                <c:pt idx="230">
                  <c:v>53796.308085671626</c:v>
                </c:pt>
                <c:pt idx="231">
                  <c:v>54606.137544310237</c:v>
                </c:pt>
                <c:pt idx="232">
                  <c:v>55370.425759105572</c:v>
                </c:pt>
                <c:pt idx="233">
                  <c:v>56090.278059235243</c:v>
                </c:pt>
                <c:pt idx="234">
                  <c:v>56766.692694366589</c:v>
                </c:pt>
                <c:pt idx="235">
                  <c:v>57400.570689014748</c:v>
                </c:pt>
                <c:pt idx="236">
                  <c:v>57992.724328244898</c:v>
                </c:pt>
                <c:pt idx="237">
                  <c:v>58543.884479105727</c:v>
                </c:pt>
                <c:pt idx="238">
                  <c:v>59054.706915417824</c:v>
                </c:pt>
                <c:pt idx="239">
                  <c:v>59525.777783898578</c:v>
                </c:pt>
                <c:pt idx="240">
                  <c:v>59957.618325551317</c:v>
                </c:pt>
                <c:pt idx="241">
                  <c:v>60350.688946597169</c:v>
                </c:pt>
                <c:pt idx="242">
                  <c:v>60705.392717063187</c:v>
                </c:pt>
                <c:pt idx="243">
                  <c:v>61022.078361741573</c:v>
                </c:pt>
                <c:pt idx="244">
                  <c:v>61301.0427970366</c:v>
                </c:pt>
                <c:pt idx="245">
                  <c:v>61542.533257769624</c:v>
                </c:pt>
                <c:pt idx="246">
                  <c:v>61746.74904996025</c:v>
                </c:pt>
                <c:pt idx="247">
                  <c:v>61913.842958653469</c:v>
                </c:pt>
                <c:pt idx="248">
                  <c:v>62043.922333781717</c:v>
                </c:pt>
                <c:pt idx="249">
                  <c:v>62137.049871641015</c:v>
                </c:pt>
                <c:pt idx="250">
                  <c:v>62193.24410465551</c:v>
                </c:pt>
                <c:pt idx="251">
                  <c:v>62212.479607561043</c:v>
                </c:pt>
                <c:pt idx="252">
                  <c:v>62194.68692382842</c:v>
                </c:pt>
                <c:pt idx="253">
                  <c:v>62139.752211952597</c:v>
                </c:pt>
                <c:pt idx="254">
                  <c:v>62047.51660704329</c:v>
                </c:pt>
                <c:pt idx="255">
                  <c:v>61917.775288853125</c:v>
                </c:pt>
                <c:pt idx="256">
                  <c:v>61750.276242856315</c:v>
                </c:pt>
                <c:pt idx="257">
                  <c:v>61544.718696118536</c:v>
                </c:pt>
                <c:pt idx="258">
                  <c:v>61300.751204339067</c:v>
                </c:pt>
                <c:pt idx="259">
                  <c:v>61017.969360440264</c:v>
                </c:pt>
                <c:pt idx="260">
                  <c:v>60695.913088240508</c:v>
                </c:pt>
                <c:pt idx="261">
                  <c:v>60334.063476852753</c:v>
                </c:pt>
                <c:pt idx="262">
                  <c:v>59931.839102231002</c:v>
                </c:pt>
                <c:pt idx="263">
                  <c:v>59488.591771410553</c:v>
                </c:pt>
                <c:pt idx="264">
                  <c:v>59003.601612043749</c:v>
                </c:pt>
                <c:pt idx="265">
                  <c:v>58476.07141430756</c:v>
                </c:pt>
                <c:pt idx="266">
                  <c:v>57905.120113507517</c:v>
                </c:pt>
                <c:pt idx="267">
                  <c:v>57289.775278906083</c:v>
                </c:pt>
                <c:pt idx="268">
                  <c:v>56628.964446423372</c:v>
                </c:pt>
                <c:pt idx="269">
                  <c:v>55921.505098564106</c:v>
                </c:pt>
                <c:pt idx="270">
                  <c:v>55166.093052512304</c:v>
                </c:pt>
                <c:pt idx="271">
                  <c:v>54361.288964609041</c:v>
                </c:pt>
                <c:pt idx="272">
                  <c:v>53505.50259356173</c:v>
                </c:pt>
                <c:pt idx="273">
                  <c:v>52596.974382079832</c:v>
                </c:pt>
                <c:pt idx="274">
                  <c:v>51633.753812509756</c:v>
                </c:pt>
                <c:pt idx="275">
                  <c:v>50613.673860473849</c:v>
                </c:pt>
                <c:pt idx="276">
                  <c:v>49534.32070398792</c:v>
                </c:pt>
                <c:pt idx="277">
                  <c:v>48392.997634829298</c:v>
                </c:pt>
                <c:pt idx="278">
                  <c:v>47186.681853336959</c:v>
                </c:pt>
                <c:pt idx="279">
                  <c:v>45911.972496184593</c:v>
                </c:pt>
                <c:pt idx="280">
                  <c:v>44565.027840502051</c:v>
                </c:pt>
                <c:pt idx="281">
                  <c:v>43141.489149158988</c:v>
                </c:pt>
                <c:pt idx="282">
                  <c:v>41636.388102516285</c:v>
                </c:pt>
                <c:pt idx="283">
                  <c:v>40044.034305435605</c:v>
                </c:pt>
                <c:pt idx="284">
                  <c:v>38357.879240234601</c:v>
                </c:pt>
                <c:pt idx="285">
                  <c:v>36570.353931704347</c:v>
                </c:pt>
                <c:pt idx="286">
                  <c:v>34672.681106931108</c:v>
                </c:pt>
                <c:pt idx="287">
                  <c:v>32654.672574929988</c:v>
                </c:pt>
                <c:pt idx="288">
                  <c:v>30504.547966300055</c:v>
                </c:pt>
                <c:pt idx="289">
                  <c:v>28208.873543967075</c:v>
                </c:pt>
                <c:pt idx="290">
                  <c:v>25752.871464084041</c:v>
                </c:pt>
                <c:pt idx="291">
                  <c:v>23121.711123843139</c:v>
                </c:pt>
                <c:pt idx="292">
                  <c:v>20304.209142958021</c:v>
                </c:pt>
                <c:pt idx="293">
                  <c:v>17301.882039111941</c:v>
                </c:pt>
                <c:pt idx="294">
                  <c:v>14147.232834396245</c:v>
                </c:pt>
                <c:pt idx="295">
                  <c:v>10926.641999815329</c:v>
                </c:pt>
                <c:pt idx="296">
                  <c:v>7773.057067327898</c:v>
                </c:pt>
                <c:pt idx="297">
                  <c:v>4797.8578714952318</c:v>
                </c:pt>
                <c:pt idx="298">
                  <c:v>2029.4191830622035</c:v>
                </c:pt>
                <c:pt idx="299">
                  <c:v>-570.29991049437729</c:v>
                </c:pt>
                <c:pt idx="300">
                  <c:v>-3057.1854842367666</c:v>
                </c:pt>
                <c:pt idx="301">
                  <c:v>-5477.233464578554</c:v>
                </c:pt>
                <c:pt idx="302">
                  <c:v>-7857.991209816535</c:v>
                </c:pt>
                <c:pt idx="303">
                  <c:v>-10209.456845343506</c:v>
                </c:pt>
                <c:pt idx="304">
                  <c:v>-12529.849266535239</c:v>
                </c:pt>
                <c:pt idx="305">
                  <c:v>-14812.319498193625</c:v>
                </c:pt>
                <c:pt idx="306">
                  <c:v>-17049.650880606066</c:v>
                </c:pt>
                <c:pt idx="307">
                  <c:v>-19236.356860324559</c:v>
                </c:pt>
                <c:pt idx="308">
                  <c:v>-21369.066407338087</c:v>
                </c:pt>
                <c:pt idx="309">
                  <c:v>-23446.182401844086</c:v>
                </c:pt>
                <c:pt idx="310">
                  <c:v>-25467.380314080896</c:v>
                </c:pt>
                <c:pt idx="311">
                  <c:v>-27433.169758366406</c:v>
                </c:pt>
                <c:pt idx="312">
                  <c:v>-29344.569860492906</c:v>
                </c:pt>
                <c:pt idx="313">
                  <c:v>-31202.886975435358</c:v>
                </c:pt>
                <c:pt idx="314">
                  <c:v>-33009.569006261961</c:v>
                </c:pt>
                <c:pt idx="315">
                  <c:v>-34766.112729535671</c:v>
                </c:pt>
                <c:pt idx="316">
                  <c:v>-36474.006402613333</c:v>
                </c:pt>
                <c:pt idx="317">
                  <c:v>-38134.695366691783</c:v>
                </c:pt>
                <c:pt idx="318">
                  <c:v>-39749.562445131625</c:v>
                </c:pt>
                <c:pt idx="319">
                  <c:v>-41319.917763618614</c:v>
                </c:pt>
                <c:pt idx="320">
                  <c:v>-42846.99450226211</c:v>
                </c:pt>
                <c:pt idx="321">
                  <c:v>-44331.948322636512</c:v>
                </c:pt>
                <c:pt idx="322">
                  <c:v>-45775.859013747191</c:v>
                </c:pt>
                <c:pt idx="323">
                  <c:v>-47179.733420130884</c:v>
                </c:pt>
                <c:pt idx="324">
                  <c:v>-48544.509052049325</c:v>
                </c:pt>
                <c:pt idx="325">
                  <c:v>-49871.057996464711</c:v>
                </c:pt>
                <c:pt idx="326">
                  <c:v>-51160.190889762467</c:v>
                </c:pt>
                <c:pt idx="327">
                  <c:v>-52412.660805778112</c:v>
                </c:pt>
                <c:pt idx="328">
                  <c:v>-53629.166972865198</c:v>
                </c:pt>
                <c:pt idx="329">
                  <c:v>-54810.358272699938</c:v>
                </c:pt>
                <c:pt idx="330">
                  <c:v>-55956.836498539735</c:v>
                </c:pt>
                <c:pt idx="331">
                  <c:v>-57069.15936650175</c:v>
                </c:pt>
                <c:pt idx="332">
                  <c:v>-58147.843283236813</c:v>
                </c:pt>
                <c:pt idx="333">
                  <c:v>-59193.365879211357</c:v>
                </c:pt>
                <c:pt idx="334">
                  <c:v>-60206.168320047131</c:v>
                </c:pt>
                <c:pt idx="335">
                  <c:v>-61186.657409915599</c:v>
                </c:pt>
                <c:pt idx="336">
                  <c:v>-62135.207501448225</c:v>
                </c:pt>
                <c:pt idx="337">
                  <c:v>-63052.162226407941</c:v>
                </c:pt>
                <c:pt idx="338">
                  <c:v>-63937.836060739086</c:v>
                </c:pt>
                <c:pt idx="339">
                  <c:v>-64792.515736749912</c:v>
                </c:pt>
                <c:pt idx="340">
                  <c:v>-65616.46151419841</c:v>
                </c:pt>
                <c:pt idx="341">
                  <c:v>-66409.908321023773</c:v>
                </c:pt>
                <c:pt idx="342">
                  <c:v>-67173.066773438681</c:v>
                </c:pt>
                <c:pt idx="343">
                  <c:v>-67906.124084100316</c:v>
                </c:pt>
                <c:pt idx="344">
                  <c:v>-68609.244866126042</c:v>
                </c:pt>
                <c:pt idx="345">
                  <c:v>-69282.571839821045</c:v>
                </c:pt>
                <c:pt idx="346">
                  <c:v>-69926.226448141708</c:v>
                </c:pt>
                <c:pt idx="347">
                  <c:v>-70540.309386129462</c:v>
                </c:pt>
                <c:pt idx="348">
                  <c:v>-71124.901048810571</c:v>
                </c:pt>
                <c:pt idx="349">
                  <c:v>-71680.061901364388</c:v>
                </c:pt>
                <c:pt idx="350">
                  <c:v>-72205.832774709139</c:v>
                </c:pt>
                <c:pt idx="351">
                  <c:v>-72702.235089034803</c:v>
                </c:pt>
                <c:pt idx="352">
                  <c:v>-73169.271007220043</c:v>
                </c:pt>
                <c:pt idx="353">
                  <c:v>-73606.923519498654</c:v>
                </c:pt>
                <c:pt idx="354">
                  <c:v>-74015.156460183003</c:v>
                </c:pt>
                <c:pt idx="355">
                  <c:v>-74393.914456701197</c:v>
                </c:pt>
                <c:pt idx="356">
                  <c:v>-74743.122810654007</c:v>
                </c:pt>
                <c:pt idx="357">
                  <c:v>-75062.687310039415</c:v>
                </c:pt>
                <c:pt idx="358">
                  <c:v>-75352.493971219796</c:v>
                </c:pt>
                <c:pt idx="359">
                  <c:v>-75612.408708610325</c:v>
                </c:pt>
                <c:pt idx="360">
                  <c:v>-75842.276929439351</c:v>
                </c:pt>
                <c:pt idx="361">
                  <c:v>-76041.923050261365</c:v>
                </c:pt>
                <c:pt idx="362">
                  <c:v>-76211.149931181135</c:v>
                </c:pt>
                <c:pt idx="363">
                  <c:v>-76349.738222960266</c:v>
                </c:pt>
                <c:pt idx="364">
                  <c:v>-76457.44562131264</c:v>
                </c:pt>
                <c:pt idx="365">
                  <c:v>-76534.006021734982</c:v>
                </c:pt>
                <c:pt idx="366">
                  <c:v>-76579.128567146938</c:v>
                </c:pt>
                <c:pt idx="367">
                  <c:v>-76592.496579408427</c:v>
                </c:pt>
                <c:pt idx="368">
                  <c:v>-76573.766364416617</c:v>
                </c:pt>
                <c:pt idx="369">
                  <c:v>-76522.565878929847</c:v>
                </c:pt>
                <c:pt idx="370">
                  <c:v>-76438.49324548697</c:v>
                </c:pt>
                <c:pt idx="371">
                  <c:v>-76321.115099744682</c:v>
                </c:pt>
                <c:pt idx="372">
                  <c:v>-76169.964752192187</c:v>
                </c:pt>
                <c:pt idx="373">
                  <c:v>-75984.540143461258</c:v>
                </c:pt>
                <c:pt idx="374">
                  <c:v>-75764.301569255564</c:v>
                </c:pt>
                <c:pt idx="375">
                  <c:v>-75508.669147187538</c:v>
                </c:pt>
                <c:pt idx="376">
                  <c:v>-75217.01999342296</c:v>
                </c:pt>
                <c:pt idx="377">
                  <c:v>-74888.685071860149</c:v>
                </c:pt>
                <c:pt idx="378">
                  <c:v>-74522.945672444868</c:v>
                </c:pt>
                <c:pt idx="379">
                  <c:v>-74119.029467941597</c:v>
                </c:pt>
                <c:pt idx="380">
                  <c:v>-73676.106089791618</c:v>
                </c:pt>
                <c:pt idx="381">
                  <c:v>-73193.282153272958</c:v>
                </c:pt>
                <c:pt idx="382">
                  <c:v>-72669.595649641517</c:v>
                </c:pt>
                <c:pt idx="383">
                  <c:v>-72104.009607779939</c:v>
                </c:pt>
                <c:pt idx="384">
                  <c:v>-71495.404909482997</c:v>
                </c:pt>
                <c:pt idx="385">
                  <c:v>-70842.572120073353</c:v>
                </c:pt>
                <c:pt idx="386">
                  <c:v>-70144.202168558244</c:v>
                </c:pt>
                <c:pt idx="387">
                  <c:v>-69398.875677718373</c:v>
                </c:pt>
                <c:pt idx="388">
                  <c:v>-68605.050702717868</c:v>
                </c:pt>
                <c:pt idx="389">
                  <c:v>-67761.048584925113</c:v>
                </c:pt>
                <c:pt idx="390">
                  <c:v>-66865.037562927566</c:v>
                </c:pt>
                <c:pt idx="391">
                  <c:v>-65915.013701733784</c:v>
                </c:pt>
                <c:pt idx="392">
                  <c:v>-64908.778599439123</c:v>
                </c:pt>
                <c:pt idx="393">
                  <c:v>-63843.913202553493</c:v>
                </c:pt>
                <c:pt idx="394">
                  <c:v>-62717.746899697937</c:v>
                </c:pt>
                <c:pt idx="395">
                  <c:v>-61527.320859866908</c:v>
                </c:pt>
                <c:pt idx="396">
                  <c:v>-60269.344325895574</c:v>
                </c:pt>
                <c:pt idx="397">
                  <c:v>-58940.142255508086</c:v>
                </c:pt>
                <c:pt idx="398">
                  <c:v>-57535.592312378889</c:v>
                </c:pt>
                <c:pt idx="399">
                  <c:v>-56051.048746302789</c:v>
                </c:pt>
                <c:pt idx="400">
                  <c:v>-54481.250182846808</c:v>
                </c:pt>
                <c:pt idx="401">
                  <c:v>-52820.207833093322</c:v>
                </c:pt>
                <c:pt idx="402">
                  <c:v>-51061.070299251056</c:v>
                </c:pt>
                <c:pt idx="403">
                  <c:v>-49195.961371445723</c:v>
                </c:pt>
                <c:pt idx="404">
                  <c:v>-47215.788796313784</c:v>
                </c:pt>
                <c:pt idx="405">
                  <c:v>-45110.026594107054</c:v>
                </c:pt>
                <c:pt idx="406">
                  <c:v>-42866.484233257281</c:v>
                </c:pt>
                <c:pt idx="407">
                  <c:v>-40471.098139557587</c:v>
                </c:pt>
                <c:pt idx="408">
                  <c:v>-37907.821403351169</c:v>
                </c:pt>
                <c:pt idx="409">
                  <c:v>-35158.74667023457</c:v>
                </c:pt>
                <c:pt idx="410">
                  <c:v>-32204.638554756752</c:v>
                </c:pt>
                <c:pt idx="411">
                  <c:v>-29025.924301658764</c:v>
                </c:pt>
                <c:pt idx="412">
                  <c:v>-25603.551531493602</c:v>
                </c:pt>
                <c:pt idx="413">
                  <c:v>-21917.732294394096</c:v>
                </c:pt>
                <c:pt idx="414">
                  <c:v>-17941.579979310958</c:v>
                </c:pt>
                <c:pt idx="415">
                  <c:v>-13629.665781559002</c:v>
                </c:pt>
                <c:pt idx="416">
                  <c:v>-8915.9371343311923</c:v>
                </c:pt>
                <c:pt idx="417">
                  <c:v>-3787.6818649984748</c:v>
                </c:pt>
                <c:pt idx="418">
                  <c:v>1494.3199314493195</c:v>
                </c:pt>
                <c:pt idx="419">
                  <c:v>6517.3386450179269</c:v>
                </c:pt>
                <c:pt idx="420">
                  <c:v>11137.282827654253</c:v>
                </c:pt>
                <c:pt idx="421">
                  <c:v>15437.343842415641</c:v>
                </c:pt>
                <c:pt idx="422">
                  <c:v>19498.771696239626</c:v>
                </c:pt>
                <c:pt idx="423">
                  <c:v>23368.089857888979</c:v>
                </c:pt>
                <c:pt idx="424">
                  <c:v>27070.929473600616</c:v>
                </c:pt>
                <c:pt idx="425">
                  <c:v>30622.938837421127</c:v>
                </c:pt>
                <c:pt idx="426">
                  <c:v>34035.341562680063</c:v>
                </c:pt>
                <c:pt idx="427">
                  <c:v>37317.395086732184</c:v>
                </c:pt>
                <c:pt idx="428">
                  <c:v>40477.368539966774</c:v>
                </c:pt>
                <c:pt idx="429">
                  <c:v>43522.887570375438</c:v>
                </c:pt>
                <c:pt idx="430">
                  <c:v>46461.037663486502</c:v>
                </c:pt>
                <c:pt idx="431">
                  <c:v>49298.390514596547</c:v>
                </c:pt>
                <c:pt idx="432">
                  <c:v>52041.01551504885</c:v>
                </c:pt>
                <c:pt idx="433">
                  <c:v>54694.495761781203</c:v>
                </c:pt>
                <c:pt idx="434">
                  <c:v>57263.951897385406</c:v>
                </c:pt>
                <c:pt idx="435">
                  <c:v>59754.071968008888</c:v>
                </c:pt>
                <c:pt idx="436">
                  <c:v>62169.144537140084</c:v>
                </c:pt>
                <c:pt idx="437">
                  <c:v>64513.092707225391</c:v>
                </c:pt>
                <c:pt idx="438">
                  <c:v>66789.507403607815</c:v>
                </c:pt>
                <c:pt idx="439">
                  <c:v>69001.678904910776</c:v>
                </c:pt>
                <c:pt idx="440">
                  <c:v>71152.626074393411</c:v>
                </c:pt>
                <c:pt idx="441">
                  <c:v>73245.123066798624</c:v>
                </c:pt>
                <c:pt idx="442">
                  <c:v>75281.723488658346</c:v>
                </c:pt>
                <c:pt idx="443">
                  <c:v>77264.782110975648</c:v>
                </c:pt>
                <c:pt idx="444">
                  <c:v>79196.474298878631</c:v>
                </c:pt>
                <c:pt idx="445">
                  <c:v>81078.813352965022</c:v>
                </c:pt>
                <c:pt idx="446">
                  <c:v>82913.665965198496</c:v>
                </c:pt>
                <c:pt idx="447">
                  <c:v>84702.765987389866</c:v>
                </c:pt>
                <c:pt idx="448">
                  <c:v>86447.726698329672</c:v>
                </c:pt>
                <c:pt idx="449">
                  <c:v>88150.051740210925</c:v>
                </c:pt>
                <c:pt idx="450">
                  <c:v>89811.14487834787</c:v>
                </c:pt>
                <c:pt idx="451">
                  <c:v>91432.318721690419</c:v>
                </c:pt>
                <c:pt idx="452">
                  <c:v>93014.802525999636</c:v>
                </c:pt>
                <c:pt idx="453">
                  <c:v>94559.74918715957</c:v>
                </c:pt>
                <c:pt idx="454">
                  <c:v>96068.241519104209</c:v>
                </c:pt>
                <c:pt idx="455">
                  <c:v>97541.297899248239</c:v>
                </c:pt>
                <c:pt idx="456">
                  <c:v>98979.877354064331</c:v>
                </c:pt>
                <c:pt idx="457">
                  <c:v>100384.88414844543</c:v>
                </c:pt>
                <c:pt idx="458">
                  <c:v>101757.17193461138</c:v>
                </c:pt>
                <c:pt idx="459">
                  <c:v>103097.54750944038</c:v>
                </c:pt>
                <c:pt idx="460">
                  <c:v>104406.77422311263</c:v>
                </c:pt>
                <c:pt idx="461">
                  <c:v>105685.57507673439</c:v>
                </c:pt>
                <c:pt idx="462">
                  <c:v>106934.63554206818</c:v>
                </c:pt>
                <c:pt idx="463">
                  <c:v>108154.60613253996</c:v>
                </c:pt>
                <c:pt idx="464">
                  <c:v>109346.10475124863</c:v>
                </c:pt>
                <c:pt idx="465">
                  <c:v>110509.71883869998</c:v>
                </c:pt>
                <c:pt idx="466">
                  <c:v>111646.00734036609</c:v>
                </c:pt>
                <c:pt idx="467">
                  <c:v>112755.50251188118</c:v>
                </c:pt>
                <c:pt idx="468">
                  <c:v>113838.71157768108</c:v>
                </c:pt>
                <c:pt idx="469">
                  <c:v>114896.11825713924</c:v>
                </c:pt>
                <c:pt idx="470">
                  <c:v>115928.18417071152</c:v>
                </c:pt>
                <c:pt idx="471">
                  <c:v>116935.35013724971</c:v>
                </c:pt>
                <c:pt idx="472">
                  <c:v>117918.03737245283</c:v>
                </c:pt>
                <c:pt idx="473">
                  <c:v>118876.64859737616</c:v>
                </c:pt>
                <c:pt idx="474">
                  <c:v>119811.56906499133</c:v>
                </c:pt>
                <c:pt idx="475">
                  <c:v>120723.16751197223</c:v>
                </c:pt>
                <c:pt idx="476">
                  <c:v>121611.79704215577</c:v>
                </c:pt>
                <c:pt idx="477">
                  <c:v>122477.79594748346</c:v>
                </c:pt>
                <c:pt idx="478">
                  <c:v>123321.48847165855</c:v>
                </c:pt>
                <c:pt idx="479">
                  <c:v>124143.18552124449</c:v>
                </c:pt>
                <c:pt idx="480">
                  <c:v>124943.18532847811</c:v>
                </c:pt>
                <c:pt idx="481">
                  <c:v>125721.77406966602</c:v>
                </c:pt>
                <c:pt idx="482">
                  <c:v>126479.22644267205</c:v>
                </c:pt>
                <c:pt idx="483">
                  <c:v>127215.80620667935</c:v>
                </c:pt>
                <c:pt idx="484">
                  <c:v>127931.76668712172</c:v>
                </c:pt>
                <c:pt idx="485">
                  <c:v>128627.35124841798</c:v>
                </c:pt>
                <c:pt idx="486">
                  <c:v>129302.7937369093</c:v>
                </c:pt>
                <c:pt idx="487">
                  <c:v>129958.31889618942</c:v>
                </c:pt>
                <c:pt idx="488">
                  <c:v>130594.14275682712</c:v>
                </c:pt>
                <c:pt idx="489">
                  <c:v>131210.47300230971</c:v>
                </c:pt>
                <c:pt idx="490">
                  <c:v>131807.50931288119</c:v>
                </c:pt>
                <c:pt idx="491">
                  <c:v>132385.44368880865</c:v>
                </c:pt>
                <c:pt idx="492">
                  <c:v>132944.46075448397</c:v>
                </c:pt>
                <c:pt idx="493">
                  <c:v>133484.73804465181</c:v>
                </c:pt>
                <c:pt idx="494">
                  <c:v>134006.44627395176</c:v>
                </c:pt>
                <c:pt idx="495">
                  <c:v>134509.74959086586</c:v>
                </c:pt>
                <c:pt idx="496">
                  <c:v>134994.8058170772</c:v>
                </c:pt>
                <c:pt idx="497">
                  <c:v>135461.76667316604</c:v>
                </c:pt>
                <c:pt idx="498">
                  <c:v>135910.77799149745</c:v>
                </c:pt>
                <c:pt idx="499">
                  <c:v>136341.97991708951</c:v>
                </c:pt>
                <c:pt idx="500">
                  <c:v>136755.50709718975</c:v>
                </c:pt>
                <c:pt idx="501">
                  <c:v>137151.4888602334</c:v>
                </c:pt>
                <c:pt idx="502">
                  <c:v>137530.04938480587</c:v>
                </c:pt>
                <c:pt idx="503">
                  <c:v>137891.30785918527</c:v>
                </c:pt>
                <c:pt idx="504">
                  <c:v>138235.37863199876</c:v>
                </c:pt>
                <c:pt idx="505">
                  <c:v>138562.37135448662</c:v>
                </c:pt>
                <c:pt idx="506">
                  <c:v>138872.39111483202</c:v>
                </c:pt>
                <c:pt idx="507">
                  <c:v>139165.53856498122</c:v>
                </c:pt>
                <c:pt idx="508">
                  <c:v>139441.91004034757</c:v>
                </c:pt>
                <c:pt idx="509">
                  <c:v>139701.597672765</c:v>
                </c:pt>
                <c:pt idx="510">
                  <c:v>139944.68949702961</c:v>
                </c:pt>
                <c:pt idx="511">
                  <c:v>140171.26955134381</c:v>
                </c:pt>
                <c:pt idx="512">
                  <c:v>140381.41797195483</c:v>
                </c:pt>
                <c:pt idx="513">
                  <c:v>140575.21108225791</c:v>
                </c:pt>
                <c:pt idx="514">
                  <c:v>140752.72147661573</c:v>
                </c:pt>
                <c:pt idx="515">
                  <c:v>140914.01809912588</c:v>
                </c:pt>
                <c:pt idx="516">
                  <c:v>141059.16631755276</c:v>
                </c:pt>
                <c:pt idx="517">
                  <c:v>141188.22799262294</c:v>
                </c:pt>
                <c:pt idx="518">
                  <c:v>141301.26154286874</c:v>
                </c:pt>
                <c:pt idx="519">
                  <c:v>141398.32200519057</c:v>
                </c:pt>
                <c:pt idx="520">
                  <c:v>141479.46109129506</c:v>
                </c:pt>
                <c:pt idx="521">
                  <c:v>141544.72724015429</c:v>
                </c:pt>
                <c:pt idx="522">
                  <c:v>141594.16566661865</c:v>
                </c:pt>
                <c:pt idx="523">
                  <c:v>141627.81840630536</c:v>
                </c:pt>
                <c:pt idx="524">
                  <c:v>141645.72435687436</c:v>
                </c:pt>
                <c:pt idx="525">
                  <c:v>141647.91931579207</c:v>
                </c:pt>
                <c:pt idx="526">
                  <c:v>141634.43601467551</c:v>
                </c:pt>
                <c:pt idx="527">
                  <c:v>141605.30415029838</c:v>
                </c:pt>
                <c:pt idx="528">
                  <c:v>141560.55041233342</c:v>
                </c:pt>
                <c:pt idx="529">
                  <c:v>141500.19850789575</c:v>
                </c:pt>
                <c:pt idx="530">
                  <c:v>141424.2691829442</c:v>
                </c:pt>
                <c:pt idx="531">
                  <c:v>141332.78024058975</c:v>
                </c:pt>
                <c:pt idx="532">
                  <c:v>141225.74655635166</c:v>
                </c:pt>
                <c:pt idx="533">
                  <c:v>141103.18009039565</c:v>
                </c:pt>
                <c:pt idx="534">
                  <c:v>140965.08989677954</c:v>
                </c:pt>
                <c:pt idx="535">
                  <c:v>140811.48212972548</c:v>
                </c:pt>
                <c:pt idx="536">
                  <c:v>140642.36004693029</c:v>
                </c:pt>
                <c:pt idx="537">
                  <c:v>140457.72400991773</c:v>
                </c:pt>
                <c:pt idx="538">
                  <c:v>140257.57148143018</c:v>
                </c:pt>
                <c:pt idx="539">
                  <c:v>140041.8970198493</c:v>
                </c:pt>
                <c:pt idx="540">
                  <c:v>139810.69227062812</c:v>
                </c:pt>
                <c:pt idx="541">
                  <c:v>139563.94595470955</c:v>
                </c:pt>
                <c:pt idx="542">
                  <c:v>139301.64385389895</c:v>
                </c:pt>
                <c:pt idx="543">
                  <c:v>139023.76879315055</c:v>
                </c:pt>
                <c:pt idx="544">
                  <c:v>138730.30061971978</c:v>
                </c:pt>
                <c:pt idx="545">
                  <c:v>138421.21617912527</c:v>
                </c:pt>
                <c:pt idx="546">
                  <c:v>138096.48928785615</c:v>
                </c:pt>
                <c:pt idx="547">
                  <c:v>137756.09070275139</c:v>
                </c:pt>
                <c:pt idx="548">
                  <c:v>137399.9880869693</c:v>
                </c:pt>
                <c:pt idx="549">
                  <c:v>137028.14597245518</c:v>
                </c:pt>
                <c:pt idx="550">
                  <c:v>136640.52571880599</c:v>
                </c:pt>
                <c:pt idx="551">
                  <c:v>136237.08546842009</c:v>
                </c:pt>
                <c:pt idx="552">
                  <c:v>135817.78009780947</c:v>
                </c:pt>
                <c:pt idx="553">
                  <c:v>135382.56116494021</c:v>
                </c:pt>
                <c:pt idx="554">
                  <c:v>134931.3768524545</c:v>
                </c:pt>
                <c:pt idx="555">
                  <c:v>134464.17190661537</c:v>
                </c:pt>
                <c:pt idx="556">
                  <c:v>133980.8875718005</c:v>
                </c:pt>
                <c:pt idx="557">
                  <c:v>133481.4615203577</c:v>
                </c:pt>
                <c:pt idx="558">
                  <c:v>132965.82777761851</c:v>
                </c:pt>
                <c:pt idx="559">
                  <c:v>132433.9166418497</c:v>
                </c:pt>
                <c:pt idx="560">
                  <c:v>131885.65459890466</c:v>
                </c:pt>
                <c:pt idx="561">
                  <c:v>131320.96423131722</c:v>
                </c:pt>
                <c:pt idx="562">
                  <c:v>130739.76412156002</c:v>
                </c:pt>
                <c:pt idx="563">
                  <c:v>130141.96874916657</c:v>
                </c:pt>
                <c:pt idx="564">
                  <c:v>129527.48838139327</c:v>
                </c:pt>
                <c:pt idx="565">
                  <c:v>128896.22895707047</c:v>
                </c:pt>
                <c:pt idx="566">
                  <c:v>128248.09196326435</c:v>
                </c:pt>
                <c:pt idx="567">
                  <c:v>127582.97430434069</c:v>
                </c:pt>
                <c:pt idx="568">
                  <c:v>126900.76816298898</c:v>
                </c:pt>
                <c:pt idx="569">
                  <c:v>126201.3608527289</c:v>
                </c:pt>
                <c:pt idx="570">
                  <c:v>125484.63466138318</c:v>
                </c:pt>
                <c:pt idx="571">
                  <c:v>124750.46668495792</c:v>
                </c:pt>
                <c:pt idx="572">
                  <c:v>123998.72865132561</c:v>
                </c:pt>
                <c:pt idx="573">
                  <c:v>123229.28673305592</c:v>
                </c:pt>
                <c:pt idx="574">
                  <c:v>122442.00134868443</c:v>
                </c:pt>
                <c:pt idx="575">
                  <c:v>121636.72695164927</c:v>
                </c:pt>
                <c:pt idx="576">
                  <c:v>120813.31180606058</c:v>
                </c:pt>
                <c:pt idx="577">
                  <c:v>119971.597748395</c:v>
                </c:pt>
                <c:pt idx="578">
                  <c:v>119111.41993412943</c:v>
                </c:pt>
                <c:pt idx="579">
                  <c:v>118232.60656824084</c:v>
                </c:pt>
                <c:pt idx="580">
                  <c:v>117334.97861840439</c:v>
                </c:pt>
                <c:pt idx="581">
                  <c:v>116418.34950961686</c:v>
                </c:pt>
                <c:pt idx="582">
                  <c:v>115482.52479885734</c:v>
                </c:pt>
                <c:pt idx="583">
                  <c:v>114527.30182826924</c:v>
                </c:pt>
                <c:pt idx="584">
                  <c:v>113552.46935520778</c:v>
                </c:pt>
                <c:pt idx="585">
                  <c:v>112557.80715734084</c:v>
                </c:pt>
                <c:pt idx="586">
                  <c:v>111543.0856108197</c:v>
                </c:pt>
                <c:pt idx="587">
                  <c:v>110508.06523934513</c:v>
                </c:pt>
                <c:pt idx="588">
                  <c:v>109452.49623174289</c:v>
                </c:pt>
                <c:pt idx="589">
                  <c:v>108376.11792542835</c:v>
                </c:pt>
                <c:pt idx="590">
                  <c:v>107278.65825287848</c:v>
                </c:pt>
                <c:pt idx="591">
                  <c:v>106159.83314793969</c:v>
                </c:pt>
                <c:pt idx="592">
                  <c:v>105019.34590847669</c:v>
                </c:pt>
                <c:pt idx="593">
                  <c:v>103856.88651150744</c:v>
                </c:pt>
                <c:pt idx="594">
                  <c:v>102672.13087656755</c:v>
                </c:pt>
                <c:pt idx="595">
                  <c:v>101464.74007259931</c:v>
                </c:pt>
                <c:pt idx="596">
                  <c:v>100234.35946316016</c:v>
                </c:pt>
                <c:pt idx="597">
                  <c:v>98980.617784185932</c:v>
                </c:pt>
                <c:pt idx="598">
                  <c:v>97703.126147919873</c:v>
                </c:pt>
                <c:pt idx="599">
                  <c:v>96401.476965920403</c:v>
                </c:pt>
                <c:pt idx="600">
                  <c:v>95075.242783281181</c:v>
                </c:pt>
                <c:pt idx="601">
                  <c:v>93723.975015327203</c:v>
                </c:pt>
                <c:pt idx="602">
                  <c:v>92347.202577081829</c:v>
                </c:pt>
                <c:pt idx="603">
                  <c:v>90944.430394721028</c:v>
                </c:pt>
                <c:pt idx="604">
                  <c:v>89515.137787035812</c:v>
                </c:pt>
                <c:pt idx="605">
                  <c:v>88058.776703602911</c:v>
                </c:pt>
                <c:pt idx="606">
                  <c:v>86574.769804912532</c:v>
                </c:pt>
                <c:pt idx="607">
                  <c:v>85062.508368120791</c:v>
                </c:pt>
                <c:pt idx="608">
                  <c:v>83521.350000388615</c:v>
                </c:pt>
                <c:pt idx="609">
                  <c:v>81950.616139958787</c:v>
                </c:pt>
                <c:pt idx="610">
                  <c:v>80349.589323244945</c:v>
                </c:pt>
                <c:pt idx="611">
                  <c:v>78717.510194325878</c:v>
                </c:pt>
                <c:pt idx="612">
                  <c:v>77053.574231465216</c:v>
                </c:pt>
                <c:pt idx="613">
                  <c:v>75356.928163782548</c:v>
                </c:pt>
                <c:pt idx="614">
                  <c:v>73626.666050260785</c:v>
                </c:pt>
                <c:pt idx="615">
                  <c:v>71861.824993304312</c:v>
                </c:pt>
                <c:pt idx="616">
                  <c:v>70061.380460707383</c:v>
                </c:pt>
                <c:pt idx="617">
                  <c:v>68224.241194132046</c:v>
                </c:pt>
                <c:pt idx="618">
                  <c:v>66349.243690524178</c:v>
                </c:pt>
                <c:pt idx="619">
                  <c:v>64435.146257591303</c:v>
                </c:pt>
                <c:pt idx="620">
                  <c:v>62480.622669005614</c:v>
                </c:pt>
                <c:pt idx="621">
                  <c:v>60484.25548471549</c:v>
                </c:pt>
                <c:pt idx="622">
                  <c:v>58444.529164874228</c:v>
                </c:pt>
                <c:pt idx="623">
                  <c:v>56359.823205181245</c:v>
                </c:pt>
                <c:pt idx="624">
                  <c:v>54228.405676793984</c:v>
                </c:pt>
                <c:pt idx="625">
                  <c:v>52048.427796731536</c:v>
                </c:pt>
                <c:pt idx="626">
                  <c:v>49817.920534489218</c:v>
                </c:pt>
                <c:pt idx="627">
                  <c:v>47534.794856664092</c:v>
                </c:pt>
                <c:pt idx="628">
                  <c:v>45196.848151132726</c:v>
                </c:pt>
                <c:pt idx="629">
                  <c:v>42801.780861545361</c:v>
                </c:pt>
                <c:pt idx="630">
                  <c:v>40347.229734940425</c:v>
                </c:pt>
                <c:pt idx="631">
                  <c:v>37830.827878351789</c:v>
                </c:pt>
                <c:pt idx="632">
                  <c:v>35250.307892312499</c:v>
                </c:pt>
                <c:pt idx="633">
                  <c:v>32603.674025015644</c:v>
                </c:pt>
                <c:pt idx="634">
                  <c:v>29889.484472905486</c:v>
                </c:pt>
                <c:pt idx="635">
                  <c:v>27107.307907957715</c:v>
                </c:pt>
                <c:pt idx="636">
                  <c:v>24258.450189977997</c:v>
                </c:pt>
                <c:pt idx="637">
                  <c:v>21347.082638246458</c:v>
                </c:pt>
                <c:pt idx="638">
                  <c:v>18381.914476662208</c:v>
                </c:pt>
                <c:pt idx="639">
                  <c:v>15378.452197112249</c:v>
                </c:pt>
                <c:pt idx="640">
                  <c:v>12361.476233210738</c:v>
                </c:pt>
                <c:pt idx="641">
                  <c:v>9366.3579970601313</c:v>
                </c:pt>
                <c:pt idx="642">
                  <c:v>6436.3789256763384</c:v>
                </c:pt>
                <c:pt idx="643">
                  <c:v>3613.083204857202</c:v>
                </c:pt>
                <c:pt idx="644">
                  <c:v>921.01376703506332</c:v>
                </c:pt>
                <c:pt idx="645">
                  <c:v>-1644.3033884562635</c:v>
                </c:pt>
                <c:pt idx="646">
                  <c:v>-4113.92428887597</c:v>
                </c:pt>
                <c:pt idx="647">
                  <c:v>-6523.5751045236248</c:v>
                </c:pt>
                <c:pt idx="648">
                  <c:v>-8876.699423795073</c:v>
                </c:pt>
                <c:pt idx="649">
                  <c:v>-11104.739445495979</c:v>
                </c:pt>
                <c:pt idx="650">
                  <c:v>-13046.741029390698</c:v>
                </c:pt>
                <c:pt idx="651">
                  <c:v>-14524.941645877905</c:v>
                </c:pt>
                <c:pt idx="652">
                  <c:v>-15500.489633340507</c:v>
                </c:pt>
                <c:pt idx="653">
                  <c:v>-16080.667806328809</c:v>
                </c:pt>
                <c:pt idx="654">
                  <c:v>-16392.111709446162</c:v>
                </c:pt>
                <c:pt idx="655">
                  <c:v>-16522.871799260181</c:v>
                </c:pt>
                <c:pt idx="656">
                  <c:v>-16527.664660969542</c:v>
                </c:pt>
                <c:pt idx="657">
                  <c:v>-16440.83425819454</c:v>
                </c:pt>
                <c:pt idx="658">
                  <c:v>-16284.826073725297</c:v>
                </c:pt>
                <c:pt idx="659">
                  <c:v>-16074.960805525146</c:v>
                </c:pt>
                <c:pt idx="660">
                  <c:v>-15822.11420874664</c:v>
                </c:pt>
                <c:pt idx="661">
                  <c:v>-15534.270959053696</c:v>
                </c:pt>
                <c:pt idx="662">
                  <c:v>-15217.462499315943</c:v>
                </c:pt>
                <c:pt idx="663">
                  <c:v>-14876.35580153362</c:v>
                </c:pt>
                <c:pt idx="664">
                  <c:v>-14514.636547392629</c:v>
                </c:pt>
                <c:pt idx="665">
                  <c:v>-14135.266675061679</c:v>
                </c:pt>
                <c:pt idx="666">
                  <c:v>-13740.662493093459</c:v>
                </c:pt>
                <c:pt idx="667">
                  <c:v>-13332.821005686299</c:v>
                </c:pt>
                <c:pt idx="668">
                  <c:v>-12913.411529376892</c:v>
                </c:pt>
                <c:pt idx="669">
                  <c:v>-12483.843466791568</c:v>
                </c:pt>
                <c:pt idx="670">
                  <c:v>-12045.317334982801</c:v>
                </c:pt>
                <c:pt idx="671">
                  <c:v>-11598.863796824377</c:v>
                </c:pt>
                <c:pt idx="672">
                  <c:v>-11145.373941963771</c:v>
                </c:pt>
                <c:pt idx="673">
                  <c:v>-10685.623081028374</c:v>
                </c:pt>
                <c:pt idx="674">
                  <c:v>-10220.289659988679</c:v>
                </c:pt>
                <c:pt idx="675">
                  <c:v>-9749.9704541085484</c:v>
                </c:pt>
                <c:pt idx="676">
                  <c:v>-9275.1928906151898</c:v>
                </c:pt>
                <c:pt idx="677">
                  <c:v>-8796.425130528065</c:v>
                </c:pt>
                <c:pt idx="678">
                  <c:v>-8314.0843836350577</c:v>
                </c:pt>
                <c:pt idx="679">
                  <c:v>-7828.543817128495</c:v>
                </c:pt>
                <c:pt idx="680">
                  <c:v>-7340.1383350533551</c:v>
                </c:pt>
                <c:pt idx="681">
                  <c:v>-6849.1694437557053</c:v>
                </c:pt>
                <c:pt idx="682">
                  <c:v>-6355.9093719518887</c:v>
                </c:pt>
                <c:pt idx="683">
                  <c:v>-5860.6045786835493</c:v>
                </c:pt>
                <c:pt idx="684">
                  <c:v>-5363.4787553242832</c:v>
                </c:pt>
                <c:pt idx="685">
                  <c:v>-4864.7354068470568</c:v>
                </c:pt>
                <c:pt idx="686">
                  <c:v>-4364.56008121993</c:v>
                </c:pt>
                <c:pt idx="687">
                  <c:v>-3863.1223029548496</c:v>
                </c:pt>
                <c:pt idx="688">
                  <c:v>-3360.5772566671158</c:v>
                </c:pt>
                <c:pt idx="689">
                  <c:v>-2857.0672583983965</c:v>
                </c:pt>
                <c:pt idx="690">
                  <c:v>-2352.7230459534489</c:v>
                </c:pt>
                <c:pt idx="691">
                  <c:v>-1847.664914251262</c:v>
                </c:pt>
                <c:pt idx="692">
                  <c:v>-1342.003717428988</c:v>
                </c:pt>
                <c:pt idx="693">
                  <c:v>-835.84175595716715</c:v>
                </c:pt>
                <c:pt idx="694">
                  <c:v>-329.27356416889035</c:v>
                </c:pt>
                <c:pt idx="695">
                  <c:v>177.61338874974868</c:v>
                </c:pt>
                <c:pt idx="696">
                  <c:v>684.73807321217305</c:v>
                </c:pt>
                <c:pt idx="697">
                  <c:v>1192.0253396554047</c:v>
                </c:pt>
                <c:pt idx="698">
                  <c:v>1699.4054168219748</c:v>
                </c:pt>
                <c:pt idx="699">
                  <c:v>2206.8134609253266</c:v>
                </c:pt>
                <c:pt idx="700">
                  <c:v>2714.18914968429</c:v>
                </c:pt>
                <c:pt idx="701">
                  <c:v>3221.4763160238836</c:v>
                </c:pt>
                <c:pt idx="702">
                  <c:v>3728.6226169284814</c:v>
                </c:pt>
                <c:pt idx="703">
                  <c:v>4235.5792335198157</c:v>
                </c:pt>
                <c:pt idx="704">
                  <c:v>4742.3005989332341</c:v>
                </c:pt>
                <c:pt idx="705">
                  <c:v>5248.744150994854</c:v>
                </c:pt>
                <c:pt idx="706">
                  <c:v>5754.8701070711304</c:v>
                </c:pt>
                <c:pt idx="707">
                  <c:v>6260.6412587802779</c:v>
                </c:pt>
                <c:pt idx="708">
                  <c:v>6766.0227845297359</c:v>
                </c:pt>
                <c:pt idx="709">
                  <c:v>7270.9820780819628</c:v>
                </c:pt>
                <c:pt idx="710">
                  <c:v>7775.4885915576333</c:v>
                </c:pt>
                <c:pt idx="711">
                  <c:v>8279.5136914654631</c:v>
                </c:pt>
                <c:pt idx="712">
                  <c:v>8783.0305265050865</c:v>
                </c:pt>
                <c:pt idx="713">
                  <c:v>9286.0139060269612</c:v>
                </c:pt>
                <c:pt idx="714">
                  <c:v>9788.4401881538924</c:v>
                </c:pt>
                <c:pt idx="715">
                  <c:v>10290.28717667477</c:v>
                </c:pt>
                <c:pt idx="716">
                  <c:v>10791.534025914358</c:v>
                </c:pt>
                <c:pt idx="717">
                  <c:v>11292.161152865381</c:v>
                </c:pt>
                <c:pt idx="718">
                  <c:v>11792.150155941878</c:v>
                </c:pt>
                <c:pt idx="719">
                  <c:v>12291.483739777224</c:v>
                </c:pt>
                <c:pt idx="720">
                  <c:v>12790.145645547451</c:v>
                </c:pt>
                <c:pt idx="721">
                  <c:v>13288.120586351237</c:v>
                </c:pt>
                <c:pt idx="722">
                  <c:v>13785.394187223226</c:v>
                </c:pt>
                <c:pt idx="723">
                  <c:v>14281.952929397661</c:v>
                </c:pt>
                <c:pt idx="724">
                  <c:v>14777.784098475287</c:v>
                </c:pt>
                <c:pt idx="725">
                  <c:v>15272.875736178798</c:v>
                </c:pt>
                <c:pt idx="726">
                  <c:v>15767.216595410866</c:v>
                </c:pt>
                <c:pt idx="727">
                  <c:v>16260.796098354775</c:v>
                </c:pt>
                <c:pt idx="728">
                  <c:v>16753.604297380876</c:v>
                </c:pt>
                <c:pt idx="729">
                  <c:v>17245.631838543079</c:v>
                </c:pt>
                <c:pt idx="730">
                  <c:v>17736.86992746836</c:v>
                </c:pt>
                <c:pt idx="731">
                  <c:v>18227.310297459433</c:v>
                </c:pt>
                <c:pt idx="732">
                  <c:v>18716.945179645874</c:v>
                </c:pt>
                <c:pt idx="733">
                  <c:v>19205.767275033108</c:v>
                </c:pt>
                <c:pt idx="734">
                  <c:v>19693.769728311054</c:v>
                </c:pt>
                <c:pt idx="735">
                  <c:v>20180.946103295788</c:v>
                </c:pt>
                <c:pt idx="736">
                  <c:v>20667.290359887789</c:v>
                </c:pt>
                <c:pt idx="737">
                  <c:v>21152.796832439843</c:v>
                </c:pt>
                <c:pt idx="738">
                  <c:v>21637.460209436151</c:v>
                </c:pt>
                <c:pt idx="739">
                  <c:v>22121.275514392055</c:v>
                </c:pt>
                <c:pt idx="740">
                  <c:v>22604.238087890775</c:v>
                </c:pt>
                <c:pt idx="741">
                  <c:v>23086.343570680168</c:v>
                </c:pt>
                <c:pt idx="742">
                  <c:v>23567.587887758273</c:v>
                </c:pt>
                <c:pt idx="743">
                  <c:v>24047.967233381965</c:v>
                </c:pt>
                <c:pt idx="744">
                  <c:v>24527.47805693786</c:v>
                </c:pt>
                <c:pt idx="745">
                  <c:v>25006.11704961921</c:v>
                </c:pt>
                <c:pt idx="746">
                  <c:v>25483.881131856673</c:v>
                </c:pt>
                <c:pt idx="747">
                  <c:v>25960.767441454616</c:v>
                </c:pt>
                <c:pt idx="748">
                  <c:v>26436.773322388162</c:v>
                </c:pt>
                <c:pt idx="749">
                  <c:v>26911.896314219324</c:v>
                </c:pt>
                <c:pt idx="750">
                  <c:v>27386.134142093641</c:v>
                </c:pt>
                <c:pt idx="751">
                  <c:v>27859.484707281335</c:v>
                </c:pt>
                <c:pt idx="752">
                  <c:v>28331.946078229586</c:v>
                </c:pt>
                <c:pt idx="753">
                  <c:v>28803.516482094823</c:v>
                </c:pt>
                <c:pt idx="754">
                  <c:v>29274.194296726058</c:v>
                </c:pt>
                <c:pt idx="755">
                  <c:v>29743.97804307222</c:v>
                </c:pt>
                <c:pt idx="756">
                  <c:v>30212.866377988357</c:v>
                </c:pt>
                <c:pt idx="757">
                  <c:v>30680.858087417168</c:v>
                </c:pt>
                <c:pt idx="758">
                  <c:v>31147.952079923933</c:v>
                </c:pt>
                <c:pt idx="759">
                  <c:v>31614.147380564322</c:v>
                </c:pt>
                <c:pt idx="760">
                  <c:v>32079.443125065955</c:v>
                </c:pt>
                <c:pt idx="761">
                  <c:v>32543.838554305734</c:v>
                </c:pt>
                <c:pt idx="762">
                  <c:v>33007.33300906622</c:v>
                </c:pt>
                <c:pt idx="763">
                  <c:v>33469.925925055315</c:v>
                </c:pt>
                <c:pt idx="764">
                  <c:v>33931.616828174519</c:v>
                </c:pt>
                <c:pt idx="765">
                  <c:v>34392.40533002204</c:v>
                </c:pt>
                <c:pt idx="766">
                  <c:v>34852.291123617732</c:v>
                </c:pt>
                <c:pt idx="767">
                  <c:v>35311.273979337762</c:v>
                </c:pt>
                <c:pt idx="768">
                  <c:v>35769.353741047613</c:v>
                </c:pt>
                <c:pt idx="769">
                  <c:v>36226.53032242271</c:v>
                </c:pt>
                <c:pt idx="770">
                  <c:v>36682.80370344664</c:v>
                </c:pt>
                <c:pt idx="771">
                  <c:v>37138.173927077456</c:v>
                </c:pt>
                <c:pt idx="772">
                  <c:v>37592.641096073217</c:v>
                </c:pt>
                <c:pt idx="773">
                  <c:v>38046.205369968389</c:v>
                </c:pt>
                <c:pt idx="774">
                  <c:v>38498.866962193242</c:v>
                </c:pt>
                <c:pt idx="775">
                  <c:v>38950.626137328771</c:v>
                </c:pt>
                <c:pt idx="776">
                  <c:v>39401.483208490208</c:v>
                </c:pt>
                <c:pt idx="777">
                  <c:v>39851.43853483253</c:v>
                </c:pt>
                <c:pt idx="778">
                  <c:v>40300.492519171741</c:v>
                </c:pt>
                <c:pt idx="779">
                  <c:v>40748.645605716039</c:v>
                </c:pt>
                <c:pt idx="780">
                  <c:v>41195.89827790139</c:v>
                </c:pt>
                <c:pt idx="781">
                  <c:v>41642.251056326262</c:v>
                </c:pt>
                <c:pt idx="782">
                  <c:v>42087.704496780563</c:v>
                </c:pt>
                <c:pt idx="783">
                  <c:v>42532.259188364187</c:v>
                </c:pt>
                <c:pt idx="784">
                  <c:v>42975.915751690707</c:v>
                </c:pt>
                <c:pt idx="785">
                  <c:v>43418.674837172046</c:v>
                </c:pt>
                <c:pt idx="786">
                  <c:v>43860.537123380273</c:v>
                </c:pt>
                <c:pt idx="787">
                  <c:v>44301.503315482667</c:v>
                </c:pt>
                <c:pt idx="788">
                  <c:v>44741.574143746649</c:v>
                </c:pt>
                <c:pt idx="789">
                  <c:v>45180.750362111154</c:v>
                </c:pt>
                <c:pt idx="790">
                  <c:v>45619.0327468213</c:v>
                </c:pt>
                <c:pt idx="791">
                  <c:v>46056.422095123402</c:v>
                </c:pt>
                <c:pt idx="792">
                  <c:v>46492.919224017402</c:v>
                </c:pt>
                <c:pt idx="793">
                  <c:v>46928.52496906415</c:v>
                </c:pt>
                <c:pt idx="794">
                  <c:v>47363.240183244823</c:v>
                </c:pt>
                <c:pt idx="795">
                  <c:v>47797.065735870194</c:v>
                </c:pt>
                <c:pt idx="796">
                  <c:v>48230.002511537394</c:v>
                </c:pt>
                <c:pt idx="797">
                  <c:v>48662.051409131964</c:v>
                </c:pt>
                <c:pt idx="798">
                  <c:v>49093.213340873146</c:v>
                </c:pt>
                <c:pt idx="799">
                  <c:v>49523.48923140049</c:v>
                </c:pt>
                <c:pt idx="800">
                  <c:v>49952.88001689982</c:v>
                </c:pt>
                <c:pt idx="801">
                  <c:v>50381.386644266822</c:v>
                </c:pt>
                <c:pt idx="802">
                  <c:v>50809.010070306576</c:v>
                </c:pt>
                <c:pt idx="803">
                  <c:v>51235.75126096743</c:v>
                </c:pt>
                <c:pt idx="804">
                  <c:v>51661.61119060764</c:v>
                </c:pt>
                <c:pt idx="805">
                  <c:v>52086.590841293357</c:v>
                </c:pt>
                <c:pt idx="806">
                  <c:v>52510.691202126567</c:v>
                </c:pt>
                <c:pt idx="807">
                  <c:v>52933.913268601704</c:v>
                </c:pt>
                <c:pt idx="808">
                  <c:v>53356.258041989582</c:v>
                </c:pt>
                <c:pt idx="809">
                  <c:v>53777.726528747575</c:v>
                </c:pt>
                <c:pt idx="810">
                  <c:v>54198.319739954808</c:v>
                </c:pt>
                <c:pt idx="811">
                  <c:v>54618.038690771347</c:v>
                </c:pt>
                <c:pt idx="812">
                  <c:v>55036.884399920265</c:v>
                </c:pt>
                <c:pt idx="813">
                  <c:v>55454.85788919172</c:v>
                </c:pt>
                <c:pt idx="814">
                  <c:v>55871.960182967967</c:v>
                </c:pt>
                <c:pt idx="815">
                  <c:v>56288.192307768542</c:v>
                </c:pt>
                <c:pt idx="816">
                  <c:v>56703.555291814642</c:v>
                </c:pt>
                <c:pt idx="817">
                  <c:v>57118.050164611988</c:v>
                </c:pt>
                <c:pt idx="818">
                  <c:v>57531.677956551321</c:v>
                </c:pt>
                <c:pt idx="819">
                  <c:v>57944.439698525777</c:v>
                </c:pt>
                <c:pt idx="820">
                  <c:v>58356.336421564556</c:v>
                </c:pt>
                <c:pt idx="821">
                  <c:v>58767.369156481996</c:v>
                </c:pt>
                <c:pt idx="822">
                  <c:v>59177.538933541633</c:v>
                </c:pt>
                <c:pt idx="823">
                  <c:v>59586.846782134446</c:v>
                </c:pt>
                <c:pt idx="824">
                  <c:v>59995.293730470788</c:v>
                </c:pt>
                <c:pt idx="825">
                  <c:v>60402.880805285451</c:v>
                </c:pt>
                <c:pt idx="826">
                  <c:v>60809.609031555206</c:v>
                </c:pt>
                <c:pt idx="827">
                  <c:v>61215.479432228487</c:v>
                </c:pt>
                <c:pt idx="828">
                  <c:v>61620.493027966557</c:v>
                </c:pt>
                <c:pt idx="829">
                  <c:v>62024.650836895744</c:v>
                </c:pt>
                <c:pt idx="830">
                  <c:v>62427.95387437036</c:v>
                </c:pt>
                <c:pt idx="831">
                  <c:v>62830.403152745748</c:v>
                </c:pt>
                <c:pt idx="832">
                  <c:v>63231.99968116112</c:v>
                </c:pt>
                <c:pt idx="833">
                  <c:v>63632.744465331809</c:v>
                </c:pt>
                <c:pt idx="834">
                  <c:v>64032.638507350457</c:v>
                </c:pt>
                <c:pt idx="835">
                  <c:v>64431.682805496908</c:v>
                </c:pt>
                <c:pt idx="836">
                  <c:v>64829.878354056316</c:v>
                </c:pt>
                <c:pt idx="837">
                  <c:v>65227.226143145264</c:v>
                </c:pt>
                <c:pt idx="838">
                  <c:v>65623.727158545487</c:v>
                </c:pt>
                <c:pt idx="839">
                  <c:v>66019.382381544929</c:v>
                </c:pt>
                <c:pt idx="840">
                  <c:v>66414.192788785847</c:v>
                </c:pt>
                <c:pt idx="841">
                  <c:v>66808.159352119605</c:v>
                </c:pt>
                <c:pt idx="842">
                  <c:v>67201.283038468042</c:v>
                </c:pt>
                <c:pt idx="843">
                  <c:v>67593.56480969103</c:v>
                </c:pt>
                <c:pt idx="844">
                  <c:v>67985.005622459954</c:v>
                </c:pt>
                <c:pt idx="845">
                  <c:v>68375.60642813702</c:v>
                </c:pt>
                <c:pt idx="846">
                  <c:v>68765.368172659961</c:v>
                </c:pt>
                <c:pt idx="847">
                  <c:v>69154.291796432139</c:v>
                </c:pt>
                <c:pt idx="848">
                  <c:v>69542.378234217686</c:v>
                </c:pt>
                <c:pt idx="849">
                  <c:v>69929.628415041516</c:v>
                </c:pt>
                <c:pt idx="850">
                  <c:v>70316.043262094012</c:v>
                </c:pt>
                <c:pt idx="851">
                  <c:v>70701.623692640234</c:v>
                </c:pt>
                <c:pt idx="852">
                  <c:v>71086.370617933455</c:v>
                </c:pt>
                <c:pt idx="853">
                  <c:v>71470.284943132807</c:v>
                </c:pt>
                <c:pt idx="854">
                  <c:v>71853.367567224981</c:v>
                </c:pt>
                <c:pt idx="855">
                  <c:v>72235.619382949662</c:v>
                </c:pt>
                <c:pt idx="856">
                  <c:v>72617.041276728691</c:v>
                </c:pt>
                <c:pt idx="857">
                  <c:v>72997.634128598816</c:v>
                </c:pt>
                <c:pt idx="858">
                  <c:v>73377.398812147672</c:v>
                </c:pt>
                <c:pt idx="859">
                  <c:v>73756.336194453193</c:v>
                </c:pt>
                <c:pt idx="860">
                  <c:v>74134.44713602605</c:v>
                </c:pt>
                <c:pt idx="861">
                  <c:v>74511.732490755079</c:v>
                </c:pt>
                <c:pt idx="862">
                  <c:v>74888.193105855666</c:v>
                </c:pt>
                <c:pt idx="863">
                  <c:v>75263.829821820822</c:v>
                </c:pt>
                <c:pt idx="864">
                  <c:v>75638.643472374984</c:v>
                </c:pt>
                <c:pt idx="865">
                  <c:v>76012.63488443027</c:v>
                </c:pt>
                <c:pt idx="866">
                  <c:v>76385.804878045295</c:v>
                </c:pt>
                <c:pt idx="867">
                  <c:v>76758.154266386278</c:v>
                </c:pt>
                <c:pt idx="868">
                  <c:v>77129.683855690411</c:v>
                </c:pt>
                <c:pt idx="869">
                  <c:v>77500.394445231344</c:v>
                </c:pt>
                <c:pt idx="870">
                  <c:v>77870.286827286865</c:v>
                </c:pt>
                <c:pt idx="871">
                  <c:v>78239.361787108472</c:v>
                </c:pt>
                <c:pt idx="872">
                  <c:v>78607.620102892892</c:v>
                </c:pt>
                <c:pt idx="873">
                  <c:v>78975.062545755398</c:v>
                </c:pt>
                <c:pt idx="874">
                  <c:v>79341.68987970498</c:v>
                </c:pt>
                <c:pt idx="875">
                  <c:v>79707.502861621106</c:v>
                </c:pt>
                <c:pt idx="876">
                  <c:v>80072.502241232141</c:v>
                </c:pt>
                <c:pt idx="877">
                  <c:v>80436.688761095298</c:v>
                </c:pt>
                <c:pt idx="878">
                  <c:v>80800.063156578122</c:v>
                </c:pt>
                <c:pt idx="879">
                  <c:v>81162.626155841339</c:v>
                </c:pt>
                <c:pt idx="880">
                  <c:v>81524.378479823106</c:v>
                </c:pt>
                <c:pt idx="881">
                  <c:v>81885.320842224566</c:v>
                </c:pt>
                <c:pt idx="882">
                  <c:v>82245.453949496616</c:v>
                </c:pt>
                <c:pt idx="883">
                  <c:v>82604.778500827946</c:v>
                </c:pt>
                <c:pt idx="884">
                  <c:v>82963.295188134187</c:v>
                </c:pt>
                <c:pt idx="885">
                  <c:v>83321.004696048098</c:v>
                </c:pt>
                <c:pt idx="886">
                  <c:v>83677.907701910925</c:v>
                </c:pt>
                <c:pt idx="887">
                  <c:v>84034.004875764629</c:v>
                </c:pt>
                <c:pt idx="888">
                  <c:v>84389.296880345239</c:v>
                </c:pt>
                <c:pt idx="889">
                  <c:v>84743.784371076938</c:v>
                </c:pt>
                <c:pt idx="890">
                  <c:v>85097.467996067164</c:v>
                </c:pt>
                <c:pt idx="891">
                  <c:v>85450.348396102447</c:v>
                </c:pt>
                <c:pt idx="892">
                  <c:v>85802.426204645177</c:v>
                </c:pt>
                <c:pt idx="893">
                  <c:v>86153.702047830971</c:v>
                </c:pt>
                <c:pt idx="894">
                  <c:v>86504.176544466885</c:v>
                </c:pt>
                <c:pt idx="895">
                  <c:v>86853.850306030276</c:v>
                </c:pt>
                <c:pt idx="896">
                  <c:v>87202.723936668321</c:v>
                </c:pt>
                <c:pt idx="897">
                  <c:v>87550.798033198196</c:v>
                </c:pt>
                <c:pt idx="898">
                  <c:v>87898.073185107758</c:v>
                </c:pt>
                <c:pt idx="899">
                  <c:v>88244.54997455691</c:v>
                </c:pt>
                <c:pt idx="900">
                  <c:v>88590.228976379483</c:v>
                </c:pt>
                <c:pt idx="901">
                  <c:v>88935.110758085531</c:v>
                </c:pt>
                <c:pt idx="902">
                  <c:v>89279.195879864215</c:v>
                </c:pt>
                <c:pt idx="903">
                  <c:v>89622.48489458712</c:v>
                </c:pt>
                <c:pt idx="904">
                  <c:v>89964.978347811993</c:v>
                </c:pt>
                <c:pt idx="905">
                  <c:v>90306.676777786881</c:v>
                </c:pt>
                <c:pt idx="906">
                  <c:v>90647.580715454693</c:v>
                </c:pt>
                <c:pt idx="907">
                  <c:v>90987.690684458081</c:v>
                </c:pt>
                <c:pt idx="908">
                  <c:v>91327.007201144719</c:v>
                </c:pt>
                <c:pt idx="909">
                  <c:v>91665.530774572864</c:v>
                </c:pt>
                <c:pt idx="910">
                  <c:v>92003.261906517248</c:v>
                </c:pt>
                <c:pt idx="911">
                  <c:v>92340.201091475217</c:v>
                </c:pt>
                <c:pt idx="912">
                  <c:v>92676.348816673155</c:v>
                </c:pt>
                <c:pt idx="913">
                  <c:v>93011.705562073199</c:v>
                </c:pt>
                <c:pt idx="914">
                  <c:v>93346.271800380113</c:v>
                </c:pt>
                <c:pt idx="915">
                  <c:v>93680.047997048445</c:v>
                </c:pt>
                <c:pt idx="916">
                  <c:v>94013.034610289818</c:v>
                </c:pt>
                <c:pt idx="917">
                  <c:v>94345.232091080426</c:v>
                </c:pt>
                <c:pt idx="918">
                  <c:v>94676.640883168744</c:v>
                </c:pt>
                <c:pt idx="919">
                  <c:v>95007.261423083328</c:v>
                </c:pt>
                <c:pt idx="920">
                  <c:v>95337.094140140776</c:v>
                </c:pt>
                <c:pt idx="921">
                  <c:v>95666.13945645382</c:v>
                </c:pt>
                <c:pt idx="922">
                  <c:v>95994.397786939546</c:v>
                </c:pt>
                <c:pt idx="923">
                  <c:v>96321.869539327672</c:v>
                </c:pt>
                <c:pt idx="924">
                  <c:v>96648.555114168994</c:v>
                </c:pt>
                <c:pt idx="925">
                  <c:v>96974.454904843806</c:v>
                </c:pt>
                <c:pt idx="926">
                  <c:v>97299.569297570415</c:v>
                </c:pt>
                <c:pt idx="927">
                  <c:v>97623.898671413801</c:v>
                </c:pt>
                <c:pt idx="928">
                  <c:v>97947.443398294214</c:v>
                </c:pt>
                <c:pt idx="929">
                  <c:v>98270.203842995834</c:v>
                </c:pt>
                <c:pt idx="930">
                  <c:v>98592.180363175474</c:v>
                </c:pt>
                <c:pt idx="931">
                  <c:v>98913.373309371294</c:v>
                </c:pt>
                <c:pt idx="932">
                  <c:v>99233.783025011464</c:v>
                </c:pt>
                <c:pt idx="933">
                  <c:v>99553.409846422961</c:v>
                </c:pt>
                <c:pt idx="934">
                  <c:v>99872.25410284019</c:v>
                </c:pt>
                <c:pt idx="935">
                  <c:v>100190.3161164137</c:v>
                </c:pt>
                <c:pt idx="936">
                  <c:v>100507.59620221879</c:v>
                </c:pt>
                <c:pt idx="937">
                  <c:v>100824.0946682642</c:v>
                </c:pt>
                <c:pt idx="938">
                  <c:v>101139.81181550059</c:v>
                </c:pt>
                <c:pt idx="939">
                  <c:v>101454.74793782913</c:v>
                </c:pt>
                <c:pt idx="940">
                  <c:v>101768.90332210991</c:v>
                </c:pt>
                <c:pt idx="941">
                  <c:v>102082.27824817033</c:v>
                </c:pt>
                <c:pt idx="942">
                  <c:v>102394.87298881351</c:v>
                </c:pt>
                <c:pt idx="943">
                  <c:v>102706.68780982644</c:v>
                </c:pt>
                <c:pt idx="944">
                  <c:v>103017.72296998817</c:v>
                </c:pt>
                <c:pt idx="945">
                  <c:v>103327.97872107795</c:v>
                </c:pt>
                <c:pt idx="946">
                  <c:v>103637.45530788311</c:v>
                </c:pt>
                <c:pt idx="947">
                  <c:v>103946.15296820702</c:v>
                </c:pt>
                <c:pt idx="948">
                  <c:v>104254.07193287685</c:v>
                </c:pt>
                <c:pt idx="949">
                  <c:v>104561.21242575118</c:v>
                </c:pt>
                <c:pt idx="950">
                  <c:v>104867.5746637276</c:v>
                </c:pt>
                <c:pt idx="951">
                  <c:v>105173.15885675016</c:v>
                </c:pt>
                <c:pt idx="952">
                  <c:v>105477.9652078166</c:v>
                </c:pt>
                <c:pt idx="953">
                  <c:v>105781.99391298556</c:v>
                </c:pt>
                <c:pt idx="954">
                  <c:v>106085.24516138365</c:v>
                </c:pt>
                <c:pt idx="955">
                  <c:v>106387.71913521229</c:v>
                </c:pt>
                <c:pt idx="956">
                  <c:v>106689.41600975451</c:v>
                </c:pt>
                <c:pt idx="957">
                  <c:v>106990.33595338154</c:v>
                </c:pt>
                <c:pt idx="958">
                  <c:v>107290.47912755927</c:v>
                </c:pt>
                <c:pt idx="959">
                  <c:v>107589.84568685455</c:v>
                </c:pt>
                <c:pt idx="960">
                  <c:v>107888.43577894135</c:v>
                </c:pt>
                <c:pt idx="961">
                  <c:v>108186.24954460675</c:v>
                </c:pt>
                <c:pt idx="962">
                  <c:v>108483.28711775676</c:v>
                </c:pt>
                <c:pt idx="963">
                  <c:v>108779.54862542193</c:v>
                </c:pt>
                <c:pt idx="964">
                  <c:v>109075.03418776288</c:v>
                </c:pt>
                <c:pt idx="965">
                  <c:v>109369.7439180756</c:v>
                </c:pt>
                <c:pt idx="966">
                  <c:v>109663.67792279659</c:v>
                </c:pt>
                <c:pt idx="967">
                  <c:v>109956.83630150772</c:v>
                </c:pt>
                <c:pt idx="968">
                  <c:v>110249.21914694112</c:v>
                </c:pt>
                <c:pt idx="969">
                  <c:v>110540.82654498366</c:v>
                </c:pt>
                <c:pt idx="970">
                  <c:v>110831.65857468142</c:v>
                </c:pt>
                <c:pt idx="971">
                  <c:v>111121.71530824383</c:v>
                </c:pt>
                <c:pt idx="972">
                  <c:v>111410.99681104768</c:v>
                </c:pt>
                <c:pt idx="973">
                  <c:v>111699.50314164092</c:v>
                </c:pt>
                <c:pt idx="974">
                  <c:v>111987.23435174632</c:v>
                </c:pt>
                <c:pt idx="975">
                  <c:v>112274.19048626481</c:v>
                </c:pt>
                <c:pt idx="976">
                  <c:v>112560.37158327871</c:v>
                </c:pt>
                <c:pt idx="977">
                  <c:v>112845.77767405474</c:v>
                </c:pt>
                <c:pt idx="978">
                  <c:v>113130.40878304678</c:v>
                </c:pt>
                <c:pt idx="979">
                  <c:v>113414.26492789846</c:v>
                </c:pt>
                <c:pt idx="980">
                  <c:v>113697.34611944553</c:v>
                </c:pt>
                <c:pt idx="981">
                  <c:v>113979.65236171798</c:v>
                </c:pt>
                <c:pt idx="982">
                  <c:v>114261.183651942</c:v>
                </c:pt>
                <c:pt idx="983">
                  <c:v>114541.93998054171</c:v>
                </c:pt>
                <c:pt idx="984">
                  <c:v>114821.92133114056</c:v>
                </c:pt>
                <c:pt idx="985">
                  <c:v>115101.12768056276</c:v>
                </c:pt>
                <c:pt idx="986">
                  <c:v>115379.55899883415</c:v>
                </c:pt>
                <c:pt idx="987">
                  <c:v>115657.21524918315</c:v>
                </c:pt>
                <c:pt idx="988">
                  <c:v>115934.09638804127</c:v>
                </c:pt>
                <c:pt idx="989">
                  <c:v>116210.20236504354</c:v>
                </c:pt>
                <c:pt idx="990">
                  <c:v>116485.53312302857</c:v>
                </c:pt>
                <c:pt idx="991">
                  <c:v>116760.08859803846</c:v>
                </c:pt>
                <c:pt idx="992">
                  <c:v>117033.86871931853</c:v>
                </c:pt>
                <c:pt idx="993">
                  <c:v>117306.87340931666</c:v>
                </c:pt>
                <c:pt idx="994">
                  <c:v>117579.1025836825</c:v>
                </c:pt>
                <c:pt idx="995">
                  <c:v>117850.55615126644</c:v>
                </c:pt>
                <c:pt idx="996">
                  <c:v>118121.23401411828</c:v>
                </c:pt>
                <c:pt idx="997">
                  <c:v>118391.13606748573</c:v>
                </c:pt>
                <c:pt idx="998">
                  <c:v>118660.26219981258</c:v>
                </c:pt>
                <c:pt idx="999">
                  <c:v>118928.61229273671</c:v>
                </c:pt>
              </c:numCache>
            </c:numRef>
          </c:xVal>
          <c:yVal>
            <c:numRef>
              <c:f>Données!$AR$5:$AR$1004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-95.064598248307078</c:v>
                </c:pt>
                <c:pt idx="3">
                  <c:v>-380.61019739794949</c:v>
                </c:pt>
                <c:pt idx="4">
                  <c:v>-858.08206187528901</c:v>
                </c:pt>
                <c:pt idx="5">
                  <c:v>-1530.5260078326951</c:v>
                </c:pt>
                <c:pt idx="6">
                  <c:v>-2402.891903907489</c:v>
                </c:pt>
                <c:pt idx="7">
                  <c:v>-3482.4241933422177</c:v>
                </c:pt>
                <c:pt idx="8">
                  <c:v>-4778.9530228093909</c:v>
                </c:pt>
                <c:pt idx="9">
                  <c:v>-6304.6130457349136</c:v>
                </c:pt>
                <c:pt idx="10">
                  <c:v>-8071.857520137457</c:v>
                </c:pt>
                <c:pt idx="11">
                  <c:v>-10087.228798265898</c:v>
                </c:pt>
                <c:pt idx="12">
                  <c:v>-12335.933792409638</c:v>
                </c:pt>
                <c:pt idx="13">
                  <c:v>-14751.379595688099</c:v>
                </c:pt>
                <c:pt idx="14">
                  <c:v>-17178.304721569533</c:v>
                </c:pt>
                <c:pt idx="15">
                  <c:v>-19381.008160849116</c:v>
                </c:pt>
                <c:pt idx="16">
                  <c:v>-21137.533585479981</c:v>
                </c:pt>
                <c:pt idx="17">
                  <c:v>-22332.4257750904</c:v>
                </c:pt>
                <c:pt idx="18">
                  <c:v>-22951.587584638793</c:v>
                </c:pt>
                <c:pt idx="19">
                  <c:v>-23026.559508993094</c:v>
                </c:pt>
                <c:pt idx="20">
                  <c:v>-22597.394794901578</c:v>
                </c:pt>
                <c:pt idx="21">
                  <c:v>-21700.098646820006</c:v>
                </c:pt>
                <c:pt idx="22">
                  <c:v>-20366.305536938547</c:v>
                </c:pt>
                <c:pt idx="23">
                  <c:v>-18629.32046677425</c:v>
                </c:pt>
                <c:pt idx="24">
                  <c:v>-16536.86013199182</c:v>
                </c:pt>
                <c:pt idx="25">
                  <c:v>-14173.332774985523</c:v>
                </c:pt>
                <c:pt idx="26">
                  <c:v>-11686.793527809148</c:v>
                </c:pt>
                <c:pt idx="27">
                  <c:v>-9285.7153541049283</c:v>
                </c:pt>
                <c:pt idx="28">
                  <c:v>-7163.1148305357356</c:v>
                </c:pt>
                <c:pt idx="29">
                  <c:v>-5405.2766438255767</c:v>
                </c:pt>
                <c:pt idx="30">
                  <c:v>-3988.1713399098576</c:v>
                </c:pt>
                <c:pt idx="31">
                  <c:v>-2836.422957448493</c:v>
                </c:pt>
                <c:pt idx="32">
                  <c:v>-1865.7641451009513</c:v>
                </c:pt>
                <c:pt idx="33">
                  <c:v>-995.84077041904357</c:v>
                </c:pt>
                <c:pt idx="34">
                  <c:v>-149.45993862991648</c:v>
                </c:pt>
                <c:pt idx="35">
                  <c:v>752.01156069469323</c:v>
                </c:pt>
                <c:pt idx="36">
                  <c:v>1793.2222480232301</c:v>
                </c:pt>
                <c:pt idx="37">
                  <c:v>3064.3548369665532</c:v>
                </c:pt>
                <c:pt idx="38">
                  <c:v>4640.3231022982845</c:v>
                </c:pt>
                <c:pt idx="39">
                  <c:v>6517.1108696313577</c:v>
                </c:pt>
                <c:pt idx="40">
                  <c:v>8555.3303777478832</c:v>
                </c:pt>
                <c:pt idx="41">
                  <c:v>10552.989439230725</c:v>
                </c:pt>
                <c:pt idx="42">
                  <c:v>12370.753548935389</c:v>
                </c:pt>
                <c:pt idx="43">
                  <c:v>13951.290731552519</c:v>
                </c:pt>
                <c:pt idx="44">
                  <c:v>15277.624296741033</c:v>
                </c:pt>
                <c:pt idx="45">
                  <c:v>16345.252759825262</c:v>
                </c:pt>
                <c:pt idx="46">
                  <c:v>17150.887667056912</c:v>
                </c:pt>
                <c:pt idx="47">
                  <c:v>17688.144891965712</c:v>
                </c:pt>
                <c:pt idx="48">
                  <c:v>17945.461661525376</c:v>
                </c:pt>
                <c:pt idx="49">
                  <c:v>17904.443116994131</c:v>
                </c:pt>
                <c:pt idx="50">
                  <c:v>17537.921990304254</c:v>
                </c:pt>
                <c:pt idx="51">
                  <c:v>16807.512750085341</c:v>
                </c:pt>
                <c:pt idx="52">
                  <c:v>15661.293878573832</c:v>
                </c:pt>
                <c:pt idx="53">
                  <c:v>14035.274457262471</c:v>
                </c:pt>
                <c:pt idx="54">
                  <c:v>11871.726623805846</c:v>
                </c:pt>
                <c:pt idx="55">
                  <c:v>9180.1518731433753</c:v>
                </c:pt>
                <c:pt idx="56">
                  <c:v>6115.954461411884</c:v>
                </c:pt>
                <c:pt idx="57">
                  <c:v>2928.9194495982169</c:v>
                </c:pt>
                <c:pt idx="58">
                  <c:v>-203.40622836480995</c:v>
                </c:pt>
                <c:pt idx="59">
                  <c:v>-3233.8735887973398</c:v>
                </c:pt>
                <c:pt idx="60">
                  <c:v>-6187.5767136037912</c:v>
                </c:pt>
                <c:pt idx="61">
                  <c:v>-9109.8575666725101</c:v>
                </c:pt>
                <c:pt idx="62">
                  <c:v>-12037.950819069516</c:v>
                </c:pt>
                <c:pt idx="63">
                  <c:v>-14973.647614880918</c:v>
                </c:pt>
                <c:pt idx="64">
                  <c:v>-17841.986679037036</c:v>
                </c:pt>
                <c:pt idx="65">
                  <c:v>-20461.3036748181</c:v>
                </c:pt>
                <c:pt idx="66">
                  <c:v>-22614.237885687024</c:v>
                </c:pt>
                <c:pt idx="67">
                  <c:v>-24193.519811073278</c:v>
                </c:pt>
                <c:pt idx="68">
                  <c:v>-25233.655823418027</c:v>
                </c:pt>
                <c:pt idx="69">
                  <c:v>-25825.203634257025</c:v>
                </c:pt>
                <c:pt idx="70">
                  <c:v>-26053.234388595047</c:v>
                </c:pt>
                <c:pt idx="71">
                  <c:v>-25983.187953881563</c:v>
                </c:pt>
                <c:pt idx="72">
                  <c:v>-25663.360789517996</c:v>
                </c:pt>
                <c:pt idx="73">
                  <c:v>-25129.631419452442</c:v>
                </c:pt>
                <c:pt idx="74">
                  <c:v>-24409.228859563809</c:v>
                </c:pt>
                <c:pt idx="75">
                  <c:v>-23523.352137807655</c:v>
                </c:pt>
                <c:pt idx="76">
                  <c:v>-22488.951393801639</c:v>
                </c:pt>
                <c:pt idx="77">
                  <c:v>-21319.958242699926</c:v>
                </c:pt>
                <c:pt idx="78">
                  <c:v>-20028.165312849236</c:v>
                </c:pt>
                <c:pt idx="79">
                  <c:v>-18623.885856717778</c:v>
                </c:pt>
                <c:pt idx="80">
                  <c:v>-17116.479184938817</c:v>
                </c:pt>
                <c:pt idx="81">
                  <c:v>-15514.798796081805</c:v>
                </c:pt>
                <c:pt idx="82">
                  <c:v>-13827.599542398231</c:v>
                </c:pt>
                <c:pt idx="83">
                  <c:v>-12063.920408815427</c:v>
                </c:pt>
                <c:pt idx="84">
                  <c:v>-10233.431953868278</c:v>
                </c:pt>
                <c:pt idx="85">
                  <c:v>-8346.6940818096882</c:v>
                </c:pt>
                <c:pt idx="86">
                  <c:v>-6415.2201001055419</c:v>
                </c:pt>
                <c:pt idx="87">
                  <c:v>-4451.2873606246703</c:v>
                </c:pt>
                <c:pt idx="88">
                  <c:v>-2467.9440497756495</c:v>
                </c:pt>
                <c:pt idx="89">
                  <c:v>-481.17231754262099</c:v>
                </c:pt>
                <c:pt idx="90">
                  <c:v>1483.2081229246271</c:v>
                </c:pt>
                <c:pt idx="91">
                  <c:v>3382.9924266663247</c:v>
                </c:pt>
                <c:pt idx="92">
                  <c:v>5167.6443952449708</c:v>
                </c:pt>
                <c:pt idx="93">
                  <c:v>6798.0595336044689</c:v>
                </c:pt>
                <c:pt idx="94">
                  <c:v>8255.8633784174381</c:v>
                </c:pt>
                <c:pt idx="95">
                  <c:v>9536.3502339159513</c:v>
                </c:pt>
                <c:pt idx="96">
                  <c:v>10635.835458909341</c:v>
                </c:pt>
                <c:pt idx="97">
                  <c:v>11538.955607885773</c:v>
                </c:pt>
                <c:pt idx="98">
                  <c:v>12204.286018096274</c:v>
                </c:pt>
                <c:pt idx="99">
                  <c:v>12548.577570667137</c:v>
                </c:pt>
                <c:pt idx="100">
                  <c:v>12453.293705291086</c:v>
                </c:pt>
                <c:pt idx="101">
                  <c:v>11847.765648575813</c:v>
                </c:pt>
                <c:pt idx="102">
                  <c:v>10803.937300069281</c:v>
                </c:pt>
                <c:pt idx="103">
                  <c:v>9482.554739578547</c:v>
                </c:pt>
                <c:pt idx="104">
                  <c:v>8017.0772215878005</c:v>
                </c:pt>
                <c:pt idx="105">
                  <c:v>6485.8648801434101</c:v>
                </c:pt>
                <c:pt idx="106">
                  <c:v>4931.68828110908</c:v>
                </c:pt>
                <c:pt idx="107">
                  <c:v>3378.6501475905948</c:v>
                </c:pt>
                <c:pt idx="108">
                  <c:v>1841.1911824078225</c:v>
                </c:pt>
                <c:pt idx="109">
                  <c:v>328.56661446220215</c:v>
                </c:pt>
                <c:pt idx="110">
                  <c:v>-1152.8722885644711</c:v>
                </c:pt>
                <c:pt idx="111">
                  <c:v>-2598.4582754783532</c:v>
                </c:pt>
                <c:pt idx="112">
                  <c:v>-4004.5211441128868</c:v>
                </c:pt>
                <c:pt idx="113">
                  <c:v>-5367.9806791400833</c:v>
                </c:pt>
                <c:pt idx="114">
                  <c:v>-6686.0929623102511</c:v>
                </c:pt>
                <c:pt idx="115">
                  <c:v>-7956.2837947800299</c:v>
                </c:pt>
                <c:pt idx="116">
                  <c:v>-9176.0329303312374</c:v>
                </c:pt>
                <c:pt idx="117">
                  <c:v>-10342.788340020004</c:v>
                </c:pt>
                <c:pt idx="118">
                  <c:v>-11453.898076526459</c:v>
                </c:pt>
                <c:pt idx="119">
                  <c:v>-12506.551940212112</c:v>
                </c:pt>
                <c:pt idx="120">
                  <c:v>-13497.727784781515</c:v>
                </c:pt>
                <c:pt idx="121">
                  <c:v>-14424.13882416767</c:v>
                </c:pt>
                <c:pt idx="122">
                  <c:v>-15282.179190790313</c:v>
                </c:pt>
                <c:pt idx="123">
                  <c:v>-16067.865520870047</c:v>
                </c:pt>
                <c:pt idx="124">
                  <c:v>-16776.772677570891</c:v>
                </c:pt>
                <c:pt idx="125">
                  <c:v>-17403.962001277789</c:v>
                </c:pt>
                <c:pt idx="126">
                  <c:v>-17943.900838060206</c:v>
                </c:pt>
                <c:pt idx="127">
                  <c:v>-18390.372733379845</c:v>
                </c:pt>
                <c:pt idx="128">
                  <c:v>-18736.378892231714</c:v>
                </c:pt>
                <c:pt idx="129">
                  <c:v>-18974.03381200424</c:v>
                </c:pt>
                <c:pt idx="130">
                  <c:v>-19094.462269071137</c:v>
                </c:pt>
                <c:pt idx="131">
                  <c:v>-19087.712582788576</c:v>
                </c:pt>
                <c:pt idx="132">
                  <c:v>-18942.71480466166</c:v>
                </c:pt>
                <c:pt idx="133">
                  <c:v>-18647.336294856777</c:v>
                </c:pt>
                <c:pt idx="134">
                  <c:v>-18188.627561812427</c:v>
                </c:pt>
                <c:pt idx="135">
                  <c:v>-17553.418402051942</c:v>
                </c:pt>
                <c:pt idx="136">
                  <c:v>-16729.535329881724</c:v>
                </c:pt>
                <c:pt idx="137">
                  <c:v>-15708.103610525835</c:v>
                </c:pt>
                <c:pt idx="138">
                  <c:v>-14487.78582381225</c:v>
                </c:pt>
                <c:pt idx="139">
                  <c:v>-13082.765452977004</c:v>
                </c:pt>
                <c:pt idx="140">
                  <c:v>-11538.58687320428</c:v>
                </c:pt>
                <c:pt idx="141">
                  <c:v>-9961.2833272924272</c:v>
                </c:pt>
                <c:pt idx="142">
                  <c:v>-8535.935882128686</c:v>
                </c:pt>
                <c:pt idx="143">
                  <c:v>-7431.3231169225237</c:v>
                </c:pt>
                <c:pt idx="144">
                  <c:v>-6648.5105592289237</c:v>
                </c:pt>
                <c:pt idx="145">
                  <c:v>-6055.2013786955849</c:v>
                </c:pt>
                <c:pt idx="146">
                  <c:v>-5522.6868888773706</c:v>
                </c:pt>
                <c:pt idx="147">
                  <c:v>-4973.5648439948482</c:v>
                </c:pt>
                <c:pt idx="148">
                  <c:v>-4374.8380365861922</c:v>
                </c:pt>
                <c:pt idx="149">
                  <c:v>-3721.1325508028531</c:v>
                </c:pt>
                <c:pt idx="150">
                  <c:v>-3019.8520523210464</c:v>
                </c:pt>
                <c:pt idx="151">
                  <c:v>-2282.0340450307517</c:v>
                </c:pt>
                <c:pt idx="152">
                  <c:v>-1518.2399421428083</c:v>
                </c:pt>
                <c:pt idx="153">
                  <c:v>-737.27842005755144</c:v>
                </c:pt>
                <c:pt idx="154">
                  <c:v>53.881036693728447</c:v>
                </c:pt>
                <c:pt idx="155">
                  <c:v>849.81942886828097</c:v>
                </c:pt>
                <c:pt idx="156">
                  <c:v>1646.3248328119769</c:v>
                </c:pt>
                <c:pt idx="157">
                  <c:v>2440.0952127695973</c:v>
                </c:pt>
                <c:pt idx="158">
                  <c:v>3228.5061810664856</c:v>
                </c:pt>
                <c:pt idx="159">
                  <c:v>4009.4365409543875</c:v>
                </c:pt>
                <c:pt idx="160">
                  <c:v>4781.138987770868</c:v>
                </c:pt>
                <c:pt idx="161">
                  <c:v>5542.1443421244976</c:v>
                </c:pt>
                <c:pt idx="162">
                  <c:v>6291.1901634830228</c:v>
                </c:pt>
                <c:pt idx="163">
                  <c:v>7027.1669593524457</c:v>
                </c:pt>
                <c:pt idx="164">
                  <c:v>7749.0770794098862</c:v>
                </c:pt>
                <c:pt idx="165">
                  <c:v>8456.0027655617232</c:v>
                </c:pt>
                <c:pt idx="166">
                  <c:v>9147.080815849049</c:v>
                </c:pt>
                <c:pt idx="167">
                  <c:v>9821.4820151704225</c:v>
                </c:pt>
                <c:pt idx="168">
                  <c:v>10478.393971941074</c:v>
                </c:pt>
                <c:pt idx="169">
                  <c:v>11117.006338086398</c:v>
                </c:pt>
                <c:pt idx="170">
                  <c:v>11736.497623102679</c:v>
                </c:pt>
                <c:pt idx="171">
                  <c:v>12336.022970717306</c:v>
                </c:pt>
                <c:pt idx="172">
                  <c:v>12914.702368602984</c:v>
                </c:pt>
                <c:pt idx="173">
                  <c:v>13471.608820275625</c:v>
                </c:pt>
                <c:pt idx="174">
                  <c:v>14005.756031138055</c:v>
                </c:pt>
                <c:pt idx="175">
                  <c:v>14516.085150859153</c:v>
                </c:pt>
                <c:pt idx="176">
                  <c:v>15001.450071411224</c:v>
                </c:pt>
                <c:pt idx="177">
                  <c:v>15460.600699767228</c:v>
                </c:pt>
                <c:pt idx="178">
                  <c:v>15892.16349745243</c:v>
                </c:pt>
                <c:pt idx="179">
                  <c:v>16294.618390470279</c:v>
                </c:pt>
                <c:pt idx="180">
                  <c:v>16666.270877833696</c:v>
                </c:pt>
                <c:pt idx="181">
                  <c:v>17005.217765711179</c:v>
                </c:pt>
                <c:pt idx="182">
                  <c:v>17309.304364154887</c:v>
                </c:pt>
                <c:pt idx="183">
                  <c:v>17576.07010227799</c:v>
                </c:pt>
                <c:pt idx="184">
                  <c:v>17802.678175679881</c:v>
                </c:pt>
                <c:pt idx="185">
                  <c:v>17985.822747035752</c:v>
                </c:pt>
                <c:pt idx="186">
                  <c:v>18121.603867872094</c:v>
                </c:pt>
                <c:pt idx="187">
                  <c:v>18205.354752577856</c:v>
                </c:pt>
                <c:pt idx="188">
                  <c:v>18231.396577589072</c:v>
                </c:pt>
                <c:pt idx="189">
                  <c:v>18192.679209551916</c:v>
                </c:pt>
                <c:pt idx="190">
                  <c:v>18080.235313879886</c:v>
                </c:pt>
                <c:pt idx="191">
                  <c:v>17882.315736064869</c:v>
                </c:pt>
                <c:pt idx="192">
                  <c:v>17582.955002465893</c:v>
                </c:pt>
                <c:pt idx="193">
                  <c:v>17159.473195456438</c:v>
                </c:pt>
                <c:pt idx="194">
                  <c:v>16577.951921846256</c:v>
                </c:pt>
                <c:pt idx="195">
                  <c:v>15785.15208958837</c:v>
                </c:pt>
                <c:pt idx="196">
                  <c:v>14697.666904230868</c:v>
                </c:pt>
                <c:pt idx="197">
                  <c:v>13213.427474678054</c:v>
                </c:pt>
                <c:pt idx="198">
                  <c:v>11311.634631923887</c:v>
                </c:pt>
                <c:pt idx="199">
                  <c:v>9109.2189747416069</c:v>
                </c:pt>
                <c:pt idx="200">
                  <c:v>6724.0356366735177</c:v>
                </c:pt>
                <c:pt idx="201">
                  <c:v>4183.1020181462245</c:v>
                </c:pt>
                <c:pt idx="202">
                  <c:v>1471.1519262449583</c:v>
                </c:pt>
                <c:pt idx="203">
                  <c:v>-1422.0427005559886</c:v>
                </c:pt>
                <c:pt idx="204">
                  <c:v>-4469.0212837791842</c:v>
                </c:pt>
                <c:pt idx="205">
                  <c:v>-7586.8205361093342</c:v>
                </c:pt>
                <c:pt idx="206">
                  <c:v>-10658.290339723013</c:v>
                </c:pt>
                <c:pt idx="207">
                  <c:v>-13584.183685314245</c:v>
                </c:pt>
                <c:pt idx="208">
                  <c:v>-16314.499180831373</c:v>
                </c:pt>
                <c:pt idx="209">
                  <c:v>-18840.536556472569</c:v>
                </c:pt>
                <c:pt idx="210">
                  <c:v>-21174.252757988754</c:v>
                </c:pt>
                <c:pt idx="211">
                  <c:v>-23334.207160985767</c:v>
                </c:pt>
                <c:pt idx="212">
                  <c:v>-25339.209403191475</c:v>
                </c:pt>
                <c:pt idx="213">
                  <c:v>-27206.12496697091</c:v>
                </c:pt>
                <c:pt idx="214">
                  <c:v>-28949.412857397769</c:v>
                </c:pt>
                <c:pt idx="215">
                  <c:v>-30581.277706469682</c:v>
                </c:pt>
                <c:pt idx="216">
                  <c:v>-32111.991658347288</c:v>
                </c:pt>
                <c:pt idx="217">
                  <c:v>-33550.225221855188</c:v>
                </c:pt>
                <c:pt idx="218">
                  <c:v>-34903.336889084123</c:v>
                </c:pt>
                <c:pt idx="219">
                  <c:v>-36177.612068798611</c:v>
                </c:pt>
                <c:pt idx="220">
                  <c:v>-37378.455562951087</c:v>
                </c:pt>
                <c:pt idx="221">
                  <c:v>-38510.545341541321</c:v>
                </c:pt>
                <c:pt idx="222">
                  <c:v>-39577.955315367297</c:v>
                </c:pt>
                <c:pt idx="223">
                  <c:v>-40584.253674055835</c:v>
                </c:pt>
                <c:pt idx="224">
                  <c:v>-41532.582066028255</c:v>
                </c:pt>
                <c:pt idx="225">
                  <c:v>-42425.71975016933</c:v>
                </c:pt>
                <c:pt idx="226">
                  <c:v>-43266.135916250125</c:v>
                </c:pt>
                <c:pt idx="227">
                  <c:v>-44056.032641553364</c:v>
                </c:pt>
                <c:pt idx="228">
                  <c:v>-44797.380390438811</c:v>
                </c:pt>
                <c:pt idx="229">
                  <c:v>-45491.947535715721</c:v>
                </c:pt>
                <c:pt idx="230">
                  <c:v>-46141.325054618384</c:v>
                </c:pt>
                <c:pt idx="231">
                  <c:v>-46746.947303191613</c:v>
                </c:pt>
                <c:pt idx="232">
                  <c:v>-47310.109582013298</c:v>
                </c:pt>
                <c:pt idx="233">
                  <c:v>-47831.983059101112</c:v>
                </c:pt>
                <c:pt idx="234">
                  <c:v>-48313.627501865209</c:v>
                </c:pt>
                <c:pt idx="235">
                  <c:v>-48756.002181087213</c:v>
                </c:pt>
                <c:pt idx="236">
                  <c:v>-49159.975240159234</c:v>
                </c:pt>
                <c:pt idx="237">
                  <c:v>-49526.331767733078</c:v>
                </c:pt>
                <c:pt idx="238">
                  <c:v>-49855.780768144083</c:v>
                </c:pt>
                <c:pt idx="239">
                  <c:v>-50148.961188942812</c:v>
                </c:pt>
                <c:pt idx="240">
                  <c:v>-50406.447136656039</c:v>
                </c:pt>
                <c:pt idx="241">
                  <c:v>-50628.75238902706</c:v>
                </c:pt>
                <c:pt idx="242">
                  <c:v>-50816.334293315413</c:v>
                </c:pt>
                <c:pt idx="243">
                  <c:v>-50969.597124885651</c:v>
                </c:pt>
                <c:pt idx="244">
                  <c:v>-51088.894967595959</c:v>
                </c:pt>
                <c:pt idx="245">
                  <c:v>-51174.534166869074</c:v>
                </c:pt>
                <c:pt idx="246">
                  <c:v>-51226.775397362864</c:v>
                </c:pt>
                <c:pt idx="247">
                  <c:v>-51245.835379512522</c:v>
                </c:pt>
                <c:pt idx="248">
                  <c:v>-51231.888272614866</c:v>
                </c:pt>
                <c:pt idx="249">
                  <c:v>-51185.066766340387</c:v>
                </c:pt>
                <c:pt idx="250">
                  <c:v>-51105.462887402064</c:v>
                </c:pt>
                <c:pt idx="251">
                  <c:v>-50993.128533421223</c:v>
                </c:pt>
                <c:pt idx="252">
                  <c:v>-50848.075741669534</c:v>
                </c:pt>
                <c:pt idx="253">
                  <c:v>-50670.276696207467</c:v>
                </c:pt>
                <c:pt idx="254">
                  <c:v>-50459.663472864755</c:v>
                </c:pt>
                <c:pt idx="255">
                  <c:v>-50216.127517403911</c:v>
                </c:pt>
                <c:pt idx="256">
                  <c:v>-49939.518847956999</c:v>
                </c:pt>
                <c:pt idx="257">
                  <c:v>-49629.644968305081</c:v>
                </c:pt>
                <c:pt idx="258">
                  <c:v>-49286.269473643493</c:v>
                </c:pt>
                <c:pt idx="259">
                  <c:v>-48909.110324988265</c:v>
                </c:pt>
                <c:pt idx="260">
                  <c:v>-48497.837762147785</c:v>
                </c:pt>
                <c:pt idx="261">
                  <c:v>-48052.071817989163</c:v>
                </c:pt>
                <c:pt idx="262">
                  <c:v>-47571.379388302761</c:v>
                </c:pt>
                <c:pt idx="263">
                  <c:v>-47055.270801576211</c:v>
                </c:pt>
                <c:pt idx="264">
                  <c:v>-46503.195821010857</c:v>
                </c:pt>
                <c:pt idx="265">
                  <c:v>-45914.538996613461</c:v>
                </c:pt>
                <c:pt idx="266">
                  <c:v>-45288.614267485071</c:v>
                </c:pt>
                <c:pt idx="267">
                  <c:v>-44624.658692615165</c:v>
                </c:pt>
                <c:pt idx="268">
                  <c:v>-43921.82516140271</c:v>
                </c:pt>
                <c:pt idx="269">
                  <c:v>-43179.173901224473</c:v>
                </c:pt>
                <c:pt idx="270">
                  <c:v>-42395.662556598851</c:v>
                </c:pt>
                <c:pt idx="271">
                  <c:v>-41570.134560090526</c:v>
                </c:pt>
                <c:pt idx="272">
                  <c:v>-40701.305445321319</c:v>
                </c:pt>
                <c:pt idx="273">
                  <c:v>-39787.746662168131</c:v>
                </c:pt>
                <c:pt idx="274">
                  <c:v>-38827.866336347019</c:v>
                </c:pt>
                <c:pt idx="275">
                  <c:v>-37819.886260190513</c:v>
                </c:pt>
                <c:pt idx="276">
                  <c:v>-36761.814194519342</c:v>
                </c:pt>
                <c:pt idx="277">
                  <c:v>-35651.410283083831</c:v>
                </c:pt>
                <c:pt idx="278">
                  <c:v>-34486.146002196423</c:v>
                </c:pt>
                <c:pt idx="279">
                  <c:v>-33263.153546647562</c:v>
                </c:pt>
                <c:pt idx="280">
                  <c:v>-31979.16282635873</c:v>
                </c:pt>
                <c:pt idx="281">
                  <c:v>-30630.422223290727</c:v>
                </c:pt>
                <c:pt idx="282">
                  <c:v>-29212.597794699188</c:v>
                </c:pt>
                <c:pt idx="283">
                  <c:v>-27720.643495301279</c:v>
                </c:pt>
                <c:pt idx="284">
                  <c:v>-26148.631909654068</c:v>
                </c:pt>
                <c:pt idx="285">
                  <c:v>-24489.530471935392</c:v>
                </c:pt>
                <c:pt idx="286">
                  <c:v>-22734.901569197569</c:v>
                </c:pt>
                <c:pt idx="287">
                  <c:v>-20874.495585243643</c:v>
                </c:pt>
                <c:pt idx="288">
                  <c:v>-18895.693769339767</c:v>
                </c:pt>
                <c:pt idx="289">
                  <c:v>-16782.746095755196</c:v>
                </c:pt>
                <c:pt idx="290">
                  <c:v>-14515.754891099534</c:v>
                </c:pt>
                <c:pt idx="291">
                  <c:v>-12069.444930393163</c:v>
                </c:pt>
                <c:pt idx="292">
                  <c:v>-9412.1758119038041</c:v>
                </c:pt>
                <c:pt idx="293">
                  <c:v>-6507.1581126109913</c:v>
                </c:pt>
                <c:pt idx="294">
                  <c:v>-3322.0735546117048</c:v>
                </c:pt>
                <c:pt idx="295">
                  <c:v>141.41580077897405</c:v>
                </c:pt>
                <c:pt idx="296">
                  <c:v>3804.8368553715995</c:v>
                </c:pt>
                <c:pt idx="297">
                  <c:v>7518.1603127520193</c:v>
                </c:pt>
                <c:pt idx="298">
                  <c:v>11137.270225549306</c:v>
                </c:pt>
                <c:pt idx="299">
                  <c:v>14580.933656679375</c:v>
                </c:pt>
                <c:pt idx="300">
                  <c:v>17818.848765085837</c:v>
                </c:pt>
                <c:pt idx="301">
                  <c:v>20841.631153817609</c:v>
                </c:pt>
                <c:pt idx="302">
                  <c:v>23645.983550324541</c:v>
                </c:pt>
                <c:pt idx="303">
                  <c:v>26232.733850117951</c:v>
                </c:pt>
                <c:pt idx="304">
                  <c:v>28608.463614552194</c:v>
                </c:pt>
                <c:pt idx="305">
                  <c:v>30785.454132659484</c:v>
                </c:pt>
                <c:pt idx="306">
                  <c:v>32779.618275684086</c:v>
                </c:pt>
                <c:pt idx="307">
                  <c:v>34608.049221786277</c:v>
                </c:pt>
                <c:pt idx="308">
                  <c:v>36287.267647862398</c:v>
                </c:pt>
                <c:pt idx="309">
                  <c:v>37832.320176601221</c:v>
                </c:pt>
                <c:pt idx="310">
                  <c:v>39256.47738540241</c:v>
                </c:pt>
                <c:pt idx="311">
                  <c:v>40571.257469780212</c:v>
                </c:pt>
                <c:pt idx="312">
                  <c:v>41786.592613993744</c:v>
                </c:pt>
                <c:pt idx="313">
                  <c:v>42911.038796004803</c:v>
                </c:pt>
                <c:pt idx="314">
                  <c:v>43951.982331902145</c:v>
                </c:pt>
                <c:pt idx="315">
                  <c:v>44915.824574853032</c:v>
                </c:pt>
                <c:pt idx="316">
                  <c:v>45808.139751556708</c:v>
                </c:pt>
                <c:pt idx="317">
                  <c:v>46633.806844652077</c:v>
                </c:pt>
                <c:pt idx="318">
                  <c:v>47397.118628227501</c:v>
                </c:pt>
                <c:pt idx="319">
                  <c:v>48101.871461264294</c:v>
                </c:pt>
                <c:pt idx="320">
                  <c:v>48751.439232271863</c:v>
                </c:pt>
                <c:pt idx="321">
                  <c:v>49348.834391387856</c:v>
                </c:pt>
                <c:pt idx="322">
                  <c:v>49896.758508899591</c:v>
                </c:pt>
                <c:pt idx="323">
                  <c:v>50397.64434373915</c:v>
                </c:pt>
                <c:pt idx="324">
                  <c:v>50853.691018064026</c:v>
                </c:pt>
                <c:pt idx="325">
                  <c:v>51266.893576349183</c:v>
                </c:pt>
                <c:pt idx="326">
                  <c:v>51639.06795195341</c:v>
                </c:pt>
                <c:pt idx="327">
                  <c:v>51971.87216075333</c:v>
                </c:pt>
                <c:pt idx="328">
                  <c:v>52266.824380277692</c:v>
                </c:pt>
                <c:pt idx="329">
                  <c:v>52525.318445210964</c:v>
                </c:pt>
                <c:pt idx="330">
                  <c:v>52748.637189065754</c:v>
                </c:pt>
                <c:pt idx="331">
                  <c:v>52937.963981555542</c:v>
                </c:pt>
                <c:pt idx="332">
                  <c:v>53094.392747241996</c:v>
                </c:pt>
                <c:pt idx="333">
                  <c:v>53218.93669987507</c:v>
                </c:pt>
                <c:pt idx="334">
                  <c:v>53312.535985753981</c:v>
                </c:pt>
                <c:pt idx="335">
                  <c:v>53376.064396287366</c:v>
                </c:pt>
                <c:pt idx="336">
                  <c:v>53410.33528306643</c:v>
                </c:pt>
                <c:pt idx="337">
                  <c:v>53416.106786894852</c:v>
                </c:pt>
                <c:pt idx="338">
                  <c:v>53394.086474335243</c:v>
                </c:pt>
                <c:pt idx="339">
                  <c:v>53344.935460642322</c:v>
                </c:pt>
                <c:pt idx="340">
                  <c:v>53269.272085834054</c:v>
                </c:pt>
                <c:pt idx="341">
                  <c:v>53167.675200612015</c:v>
                </c:pt>
                <c:pt idx="342">
                  <c:v>53040.687110489009</c:v>
                </c:pt>
                <c:pt idx="343">
                  <c:v>52888.816219504952</c:v>
                </c:pt>
                <c:pt idx="344">
                  <c:v>52712.539409060846</c:v>
                </c:pt>
                <c:pt idx="345">
                  <c:v>52512.304182475578</c:v>
                </c:pt>
                <c:pt idx="346">
                  <c:v>52288.530601708764</c:v>
                </c:pt>
                <c:pt idx="347">
                  <c:v>52041.61303916484</c:v>
                </c:pt>
                <c:pt idx="348">
                  <c:v>51771.921764491162</c:v>
                </c:pt>
                <c:pt idx="349">
                  <c:v>51479.804383720402</c:v>
                </c:pt>
                <c:pt idx="350">
                  <c:v>51165.587145912425</c:v>
                </c:pt>
                <c:pt idx="351">
                  <c:v>50829.576130565176</c:v>
                </c:pt>
                <c:pt idx="352">
                  <c:v>50472.058327439219</c:v>
                </c:pt>
                <c:pt idx="353">
                  <c:v>50093.302619036425</c:v>
                </c:pt>
                <c:pt idx="354">
                  <c:v>49693.560674756431</c:v>
                </c:pt>
                <c:pt idx="355">
                  <c:v>49273.067764697502</c:v>
                </c:pt>
                <c:pt idx="356">
                  <c:v>48832.043500147964</c:v>
                </c:pt>
                <c:pt idx="357">
                  <c:v>48370.692507011256</c:v>
                </c:pt>
                <c:pt idx="358">
                  <c:v>47889.205037705578</c:v>
                </c:pt>
                <c:pt idx="359">
                  <c:v>47387.757526465051</c:v>
                </c:pt>
                <c:pt idx="360">
                  <c:v>46866.513092431291</c:v>
                </c:pt>
                <c:pt idx="361">
                  <c:v>46325.621994454028</c:v>
                </c:pt>
                <c:pt idx="362">
                  <c:v>45765.222041108391</c:v>
                </c:pt>
                <c:pt idx="363">
                  <c:v>45185.43895907906</c:v>
                </c:pt>
                <c:pt idx="364">
                  <c:v>44586.386722753239</c:v>
                </c:pt>
                <c:pt idx="365">
                  <c:v>43968.167847600984</c:v>
                </c:pt>
                <c:pt idx="366">
                  <c:v>43330.873649701796</c:v>
                </c:pt>
                <c:pt idx="367">
                  <c:v>42674.584473598654</c:v>
                </c:pt>
                <c:pt idx="368">
                  <c:v>41999.369890526039</c:v>
                </c:pt>
                <c:pt idx="369">
                  <c:v>41305.288868968615</c:v>
                </c:pt>
                <c:pt idx="370">
                  <c:v>40592.38991946599</c:v>
                </c:pt>
                <c:pt idx="371">
                  <c:v>39860.711215592491</c:v>
                </c:pt>
                <c:pt idx="372">
                  <c:v>39110.280693117311</c:v>
                </c:pt>
                <c:pt idx="373">
                  <c:v>38341.116129501977</c:v>
                </c:pt>
                <c:pt idx="374">
                  <c:v>37553.225206134499</c:v>
                </c:pt>
                <c:pt idx="375">
                  <c:v>36746.605556054106</c:v>
                </c:pt>
                <c:pt idx="376">
                  <c:v>35921.244800416032</c:v>
                </c:pt>
                <c:pt idx="377">
                  <c:v>35077.120577618909</c:v>
                </c:pt>
                <c:pt idx="378">
                  <c:v>34214.200569918961</c:v>
                </c:pt>
                <c:pt idx="379">
                  <c:v>33332.442533550107</c:v>
                </c:pt>
                <c:pt idx="380">
                  <c:v>32431.794339946111</c:v>
                </c:pt>
                <c:pt idx="381">
                  <c:v>31512.194037736703</c:v>
                </c:pt>
                <c:pt idx="382">
                  <c:v>30573.569947922198</c:v>
                </c:pt>
                <c:pt idx="383">
                  <c:v>29615.840808232788</c:v>
                </c:pt>
                <c:pt idx="384">
                  <c:v>28638.915987438013</c:v>
                </c:pt>
                <c:pt idx="385">
                  <c:v>27642.695796683001</c:v>
                </c:pt>
                <c:pt idx="386">
                  <c:v>26627.07193333183</c:v>
                </c:pt>
                <c:pt idx="387">
                  <c:v>25591.928104044619</c:v>
                </c:pt>
                <c:pt idx="388">
                  <c:v>24537.140888947128</c:v>
                </c:pt>
                <c:pt idx="389">
                  <c:v>23462.58092923645</c:v>
                </c:pt>
                <c:pt idx="390">
                  <c:v>22368.114548478072</c:v>
                </c:pt>
                <c:pt idx="391">
                  <c:v>21253.605956147574</c:v>
                </c:pt>
                <c:pt idx="392">
                  <c:v>20118.92023490899</c:v>
                </c:pt>
                <c:pt idx="393">
                  <c:v>18963.927386867523</c:v>
                </c:pt>
                <c:pt idx="394">
                  <c:v>17788.507817594636</c:v>
                </c:pt>
                <c:pt idx="395">
                  <c:v>16592.559783352302</c:v>
                </c:pt>
                <c:pt idx="396">
                  <c:v>15376.009536271193</c:v>
                </c:pt>
                <c:pt idx="397">
                  <c:v>14138.825203481212</c:v>
                </c:pt>
                <c:pt idx="398">
                  <c:v>12881.035872935458</c:v>
                </c:pt>
                <c:pt idx="399">
                  <c:v>11602.757995780377</c:v>
                </c:pt>
                <c:pt idx="400">
                  <c:v>10304.232148194655</c:v>
                </c:pt>
                <c:pt idx="401">
                  <c:v>8985.8745620893878</c:v>
                </c:pt>
                <c:pt idx="402">
                  <c:v>7648.3498211227725</c:v>
                </c:pt>
                <c:pt idx="403">
                  <c:v>6292.6739503259805</c:v>
                </c:pt>
                <c:pt idx="404">
                  <c:v>4920.3609798128973</c:v>
                </c:pt>
                <c:pt idx="405">
                  <c:v>3533.630759046026</c:v>
                </c:pt>
                <c:pt idx="406">
                  <c:v>2135.6999114609516</c:v>
                </c:pt>
                <c:pt idx="407">
                  <c:v>731.17627986017294</c:v>
                </c:pt>
                <c:pt idx="408">
                  <c:v>-673.44441475704332</c:v>
                </c:pt>
                <c:pt idx="409">
                  <c:v>-2069.2578340615833</c:v>
                </c:pt>
                <c:pt idx="410">
                  <c:v>-3444.685400608098</c:v>
                </c:pt>
                <c:pt idx="411">
                  <c:v>-4786.1486952724335</c:v>
                </c:pt>
                <c:pt idx="412">
                  <c:v>-6080.896163824963</c:v>
                </c:pt>
                <c:pt idx="413">
                  <c:v>-7323.2161584198475</c:v>
                </c:pt>
                <c:pt idx="414">
                  <c:v>-8523.8380232662021</c:v>
                </c:pt>
                <c:pt idx="415">
                  <c:v>-9720.4160254258113</c:v>
                </c:pt>
                <c:pt idx="416">
                  <c:v>-10987.270226987144</c:v>
                </c:pt>
                <c:pt idx="417">
                  <c:v>-12429.707348754568</c:v>
                </c:pt>
                <c:pt idx="418">
                  <c:v>-14079.30079458458</c:v>
                </c:pt>
                <c:pt idx="419">
                  <c:v>-15787.958180463716</c:v>
                </c:pt>
                <c:pt idx="420">
                  <c:v>-17375.479725228925</c:v>
                </c:pt>
                <c:pt idx="421">
                  <c:v>-18770.469132577702</c:v>
                </c:pt>
                <c:pt idx="422">
                  <c:v>-19961.550826741699</c:v>
                </c:pt>
                <c:pt idx="423">
                  <c:v>-20957.534215984921</c:v>
                </c:pt>
                <c:pt idx="424">
                  <c:v>-21774.927278949403</c:v>
                </c:pt>
                <c:pt idx="425">
                  <c:v>-22432.918017628315</c:v>
                </c:pt>
                <c:pt idx="426">
                  <c:v>-22950.732675558127</c:v>
                </c:pt>
                <c:pt idx="427">
                  <c:v>-23346.250875083613</c:v>
                </c:pt>
                <c:pt idx="428">
                  <c:v>-23635.409126116974</c:v>
                </c:pt>
                <c:pt idx="429">
                  <c:v>-23832.068688092084</c:v>
                </c:pt>
                <c:pt idx="430">
                  <c:v>-23948.124430914693</c:v>
                </c:pt>
                <c:pt idx="431">
                  <c:v>-23993.717303905942</c:v>
                </c:pt>
                <c:pt idx="432">
                  <c:v>-23977.474719183483</c:v>
                </c:pt>
                <c:pt idx="433">
                  <c:v>-23906.74158549065</c:v>
                </c:pt>
                <c:pt idx="434">
                  <c:v>-23787.786381368551</c:v>
                </c:pt>
                <c:pt idx="435">
                  <c:v>-23625.977888724905</c:v>
                </c:pt>
                <c:pt idx="436">
                  <c:v>-23425.933527110516</c:v>
                </c:pt>
                <c:pt idx="437">
                  <c:v>-23191.642406418534</c:v>
                </c:pt>
                <c:pt idx="438">
                  <c:v>-22926.566823203379</c:v>
                </c:pt>
                <c:pt idx="439">
                  <c:v>-22633.725808293693</c:v>
                </c:pt>
                <c:pt idx="440">
                  <c:v>-22315.763924934599</c:v>
                </c:pt>
                <c:pt idx="441">
                  <c:v>-21975.008029459252</c:v>
                </c:pt>
                <c:pt idx="442">
                  <c:v>-21613.514236750572</c:v>
                </c:pt>
                <c:pt idx="443">
                  <c:v>-21233.106918416812</c:v>
                </c:pt>
                <c:pt idx="444">
                  <c:v>-20835.411212437109</c:v>
                </c:pt>
                <c:pt idx="445">
                  <c:v>-20421.880236197336</c:v>
                </c:pt>
                <c:pt idx="446">
                  <c:v>-19993.817962631852</c:v>
                </c:pt>
                <c:pt idx="447">
                  <c:v>-19552.398532747651</c:v>
                </c:pt>
                <c:pt idx="448">
                  <c:v>-19098.682628738756</c:v>
                </c:pt>
                <c:pt idx="449">
                  <c:v>-18633.631412895047</c:v>
                </c:pt>
                <c:pt idx="450">
                  <c:v>-18158.118442486099</c:v>
                </c:pt>
                <c:pt idx="451">
                  <c:v>-17672.939894817227</c:v>
                </c:pt>
                <c:pt idx="452">
                  <c:v>-17178.823375759661</c:v>
                </c:pt>
                <c:pt idx="453">
                  <c:v>-16676.43553611594</c:v>
                </c:pt>
                <c:pt idx="454">
                  <c:v>-16166.388680722521</c:v>
                </c:pt>
                <c:pt idx="455">
                  <c:v>-15649.246523267264</c:v>
                </c:pt>
                <c:pt idx="456">
                  <c:v>-15125.529213877746</c:v>
                </c:pt>
                <c:pt idx="457">
                  <c:v>-14595.717745410904</c:v>
                </c:pt>
                <c:pt idx="458">
                  <c:v>-14060.257827093181</c:v>
                </c:pt>
                <c:pt idx="459">
                  <c:v>-13519.563299971056</c:v>
                </c:pt>
                <c:pt idx="460">
                  <c:v>-12974.019156937935</c:v>
                </c:pt>
                <c:pt idx="461">
                  <c:v>-12423.984220430719</c:v>
                </c:pt>
                <c:pt idx="462">
                  <c:v>-11869.793522859753</c:v>
                </c:pt>
                <c:pt idx="463">
                  <c:v>-11311.760428146674</c:v>
                </c:pt>
                <c:pt idx="464">
                  <c:v>-10750.178527152833</c:v>
                </c:pt>
                <c:pt idx="465">
                  <c:v>-10185.323335090763</c:v>
                </c:pt>
                <c:pt idx="466">
                  <c:v>-9617.4538150642584</c:v>
                </c:pt>
                <c:pt idx="467">
                  <c:v>-9046.8137485506504</c:v>
                </c:pt>
                <c:pt idx="468">
                  <c:v>-8473.6329708171452</c:v>
                </c:pt>
                <c:pt idx="469">
                  <c:v>-7898.1284868664516</c:v>
                </c:pt>
                <c:pt idx="470">
                  <c:v>-7320.505481465204</c:v>
                </c:pt>
                <c:pt idx="471">
                  <c:v>-6740.9582350643914</c:v>
                </c:pt>
                <c:pt idx="472">
                  <c:v>-6159.6709559267956</c:v>
                </c:pt>
                <c:pt idx="473">
                  <c:v>-5576.8185374928653</c:v>
                </c:pt>
                <c:pt idx="474">
                  <c:v>-4992.5672489110821</c:v>
                </c:pt>
                <c:pt idx="475">
                  <c:v>-4407.0753657044716</c:v>
                </c:pt>
                <c:pt idx="476">
                  <c:v>-3820.4937467188938</c:v>
                </c:pt>
                <c:pt idx="477">
                  <c:v>-3232.9663627820983</c:v>
                </c:pt>
                <c:pt idx="478">
                  <c:v>-2644.6307818793825</c:v>
                </c:pt>
                <c:pt idx="479">
                  <c:v>-2055.6186151085722</c:v>
                </c:pt>
                <c:pt idx="480">
                  <c:v>-1466.0559272026962</c:v>
                </c:pt>
                <c:pt idx="481">
                  <c:v>-876.06361499355035</c:v>
                </c:pt>
                <c:pt idx="482">
                  <c:v>-285.75775682520072</c:v>
                </c:pt>
                <c:pt idx="483">
                  <c:v>304.7500643935208</c:v>
                </c:pt>
                <c:pt idx="484">
                  <c:v>895.35246209023649</c:v>
                </c:pt>
                <c:pt idx="485">
                  <c:v>1485.9459687252163</c:v>
                </c:pt>
                <c:pt idx="486">
                  <c:v>2076.4307783434601</c:v>
                </c:pt>
                <c:pt idx="487">
                  <c:v>2666.7105072380446</c:v>
                </c:pt>
                <c:pt idx="488">
                  <c:v>3256.691971152562</c:v>
                </c:pt>
                <c:pt idx="489">
                  <c:v>3846.2849776036642</c:v>
                </c:pt>
                <c:pt idx="490">
                  <c:v>4435.4021320410193</c:v>
                </c:pt>
                <c:pt idx="491">
                  <c:v>5023.9586566834287</c:v>
                </c:pt>
                <c:pt idx="492">
                  <c:v>5611.8722209782572</c:v>
                </c:pt>
                <c:pt idx="493">
                  <c:v>6199.0627827281623</c:v>
                </c:pt>
                <c:pt idx="494">
                  <c:v>6785.4524390158458</c:v>
                </c:pt>
                <c:pt idx="495">
                  <c:v>7370.9652861352133</c:v>
                </c:pt>
                <c:pt idx="496">
                  <c:v>7955.5272878070746</c:v>
                </c:pt>
                <c:pt idx="497">
                  <c:v>8539.0661510201389</c:v>
                </c:pt>
                <c:pt idx="498">
                  <c:v>9121.5112088944406</c:v>
                </c:pt>
                <c:pt idx="499">
                  <c:v>9702.7933100150531</c:v>
                </c:pt>
                <c:pt idx="500">
                  <c:v>10282.844713729732</c:v>
                </c:pt>
                <c:pt idx="501">
                  <c:v>10861.598990945393</c:v>
                </c:pt>
                <c:pt idx="502">
                  <c:v>11438.990929995663</c:v>
                </c:pt>
                <c:pt idx="503">
                  <c:v>12014.956447185445</c:v>
                </c:pt>
                <c:pt idx="504">
                  <c:v>12589.432501648942</c:v>
                </c:pt>
                <c:pt idx="505">
                  <c:v>13162.357014185298</c:v>
                </c:pt>
                <c:pt idx="506">
                  <c:v>13733.668789760924</c:v>
                </c:pt>
                <c:pt idx="507">
                  <c:v>14303.307443390406</c:v>
                </c:pt>
                <c:pt idx="508">
                  <c:v>14871.213329128377</c:v>
                </c:pt>
                <c:pt idx="509">
                  <c:v>15437.327471923505</c:v>
                </c:pt>
                <c:pt idx="510">
                  <c:v>16001.591502102601</c:v>
                </c:pt>
                <c:pt idx="511">
                  <c:v>16563.947592268309</c:v>
                </c:pt>
                <c:pt idx="512">
                  <c:v>17124.338396407733</c:v>
                </c:pt>
                <c:pt idx="513">
                  <c:v>17682.706991022045</c:v>
                </c:pt>
                <c:pt idx="514">
                  <c:v>18238.996818098534</c:v>
                </c:pt>
                <c:pt idx="515">
                  <c:v>18793.151629756987</c:v>
                </c:pt>
                <c:pt idx="516">
                  <c:v>19345.1154344116</c:v>
                </c:pt>
                <c:pt idx="517">
                  <c:v>19894.832444298176</c:v>
                </c:pt>
                <c:pt idx="518">
                  <c:v>20442.247024223871</c:v>
                </c:pt>
                <c:pt idx="519">
                  <c:v>20987.303641403701</c:v>
                </c:pt>
                <c:pt idx="520">
                  <c:v>21529.946816254065</c:v>
                </c:pt>
                <c:pt idx="521">
                  <c:v>22070.121074019022</c:v>
                </c:pt>
                <c:pt idx="522">
                  <c:v>22607.770897109844</c:v>
                </c:pt>
                <c:pt idx="523">
                  <c:v>23142.840678042663</c:v>
                </c:pt>
                <c:pt idx="524">
                  <c:v>23675.274672862608</c:v>
                </c:pt>
                <c:pt idx="525">
                  <c:v>24205.016954946066</c:v>
                </c:pt>
                <c:pt idx="526">
                  <c:v>24732.011369075291</c:v>
                </c:pt>
                <c:pt idx="527">
                  <c:v>25256.201485681802</c:v>
                </c:pt>
                <c:pt idx="528">
                  <c:v>25777.530555156703</c:v>
                </c:pt>
                <c:pt idx="529">
                  <c:v>26295.941462127372</c:v>
                </c:pt>
                <c:pt idx="530">
                  <c:v>26811.376679600704</c:v>
                </c:pt>
                <c:pt idx="531">
                  <c:v>27323.778222873698</c:v>
                </c:pt>
                <c:pt idx="532">
                  <c:v>27833.087603111991</c:v>
                </c:pt>
                <c:pt idx="533">
                  <c:v>28339.245780496654</c:v>
                </c:pt>
                <c:pt idx="534">
                  <c:v>28842.193116838738</c:v>
                </c:pt>
                <c:pt idx="535">
                  <c:v>29341.869327559769</c:v>
                </c:pt>
                <c:pt idx="536">
                  <c:v>29838.213432934783</c:v>
                </c:pt>
                <c:pt idx="537">
                  <c:v>30331.163708492397</c:v>
                </c:pt>
                <c:pt idx="538">
                  <c:v>30820.657634463922</c:v>
                </c:pt>
                <c:pt idx="539">
                  <c:v>31306.631844170468</c:v>
                </c:pt>
                <c:pt idx="540">
                  <c:v>31789.02207123366</c:v>
                </c:pt>
                <c:pt idx="541">
                  <c:v>32267.76309549154</c:v>
                </c:pt>
                <c:pt idx="542">
                  <c:v>32742.788687496901</c:v>
                </c:pt>
                <c:pt idx="543">
                  <c:v>33214.031551470158</c:v>
                </c:pt>
                <c:pt idx="544">
                  <c:v>33681.423266573511</c:v>
                </c:pt>
                <c:pt idx="545">
                  <c:v>34144.894226366698</c:v>
                </c:pt>
                <c:pt idx="546">
                  <c:v>34604.373576298145</c:v>
                </c:pt>
                <c:pt idx="547">
                  <c:v>35059.789149077544</c:v>
                </c:pt>
                <c:pt idx="548">
                  <c:v>35511.067397767729</c:v>
                </c:pt>
                <c:pt idx="549">
                  <c:v>35958.133326424781</c:v>
                </c:pt>
                <c:pt idx="550">
                  <c:v>36400.910418105064</c:v>
                </c:pt>
                <c:pt idx="551">
                  <c:v>36839.320560047454</c:v>
                </c:pt>
                <c:pt idx="552">
                  <c:v>37273.283965826755</c:v>
                </c:pt>
                <c:pt idx="553">
                  <c:v>37702.719094261571</c:v>
                </c:pt>
                <c:pt idx="554">
                  <c:v>38127.542564845731</c:v>
                </c:pt>
                <c:pt idx="555">
                  <c:v>38547.669069456708</c:v>
                </c:pt>
                <c:pt idx="556">
                  <c:v>38963.011280077786</c:v>
                </c:pt>
                <c:pt idx="557">
                  <c:v>39373.479752252155</c:v>
                </c:pt>
                <c:pt idx="558">
                  <c:v>39778.982823966937</c:v>
                </c:pt>
                <c:pt idx="559">
                  <c:v>40179.42650964317</c:v>
                </c:pt>
                <c:pt idx="560">
                  <c:v>40574.714388883593</c:v>
                </c:pt>
                <c:pt idx="561">
                  <c:v>40964.747489603709</c:v>
                </c:pt>
                <c:pt idx="562">
                  <c:v>41349.424165142787</c:v>
                </c:pt>
                <c:pt idx="563">
                  <c:v>41728.639964919603</c:v>
                </c:pt>
                <c:pt idx="564">
                  <c:v>42102.287498163285</c:v>
                </c:pt>
                <c:pt idx="565">
                  <c:v>42470.256290211313</c:v>
                </c:pt>
                <c:pt idx="566">
                  <c:v>42832.432630824966</c:v>
                </c:pt>
                <c:pt idx="567">
                  <c:v>43188.699413926384</c:v>
                </c:pt>
                <c:pt idx="568">
                  <c:v>43538.935968110971</c:v>
                </c:pt>
                <c:pt idx="569">
                  <c:v>43883.017877232778</c:v>
                </c:pt>
                <c:pt idx="570">
                  <c:v>44220.816790299104</c:v>
                </c:pt>
                <c:pt idx="571">
                  <c:v>44552.200219842503</c:v>
                </c:pt>
                <c:pt idx="572">
                  <c:v>44877.031327863238</c:v>
                </c:pt>
                <c:pt idx="573">
                  <c:v>45195.168698351874</c:v>
                </c:pt>
                <c:pt idx="574">
                  <c:v>45506.466095309552</c:v>
                </c:pt>
                <c:pt idx="575">
                  <c:v>45810.772205081063</c:v>
                </c:pt>
                <c:pt idx="576">
                  <c:v>46107.93036170183</c:v>
                </c:pt>
                <c:pt idx="577">
                  <c:v>46397.77825383345</c:v>
                </c:pt>
                <c:pt idx="578">
                  <c:v>46680.147611720997</c:v>
                </c:pt>
                <c:pt idx="579">
                  <c:v>46954.863872447619</c:v>
                </c:pt>
                <c:pt idx="580">
                  <c:v>47221.745821585675</c:v>
                </c:pt>
                <c:pt idx="581">
                  <c:v>47480.605209146081</c:v>
                </c:pt>
                <c:pt idx="582">
                  <c:v>47731.246337506062</c:v>
                </c:pt>
                <c:pt idx="583">
                  <c:v>47973.465618746297</c:v>
                </c:pt>
                <c:pt idx="584">
                  <c:v>48207.0510985484</c:v>
                </c:pt>
                <c:pt idx="585">
                  <c:v>48431.781943487265</c:v>
                </c:pt>
                <c:pt idx="586">
                  <c:v>48647.427888195743</c:v>
                </c:pt>
                <c:pt idx="587">
                  <c:v>48853.748638474441</c:v>
                </c:pt>
                <c:pt idx="588">
                  <c:v>49050.493225960861</c:v>
                </c:pt>
                <c:pt idx="589">
                  <c:v>49237.399309450215</c:v>
                </c:pt>
                <c:pt idx="590">
                  <c:v>49414.192417366234</c:v>
                </c:pt>
                <c:pt idx="591">
                  <c:v>49580.585125201789</c:v>
                </c:pt>
                <c:pt idx="592">
                  <c:v>49736.276160972731</c:v>
                </c:pt>
                <c:pt idx="593">
                  <c:v>49880.949430837929</c:v>
                </c:pt>
                <c:pt idx="594">
                  <c:v>50014.272956014589</c:v>
                </c:pt>
                <c:pt idx="595">
                  <c:v>50135.897710937628</c:v>
                </c:pt>
                <c:pt idx="596">
                  <c:v>50245.456351247834</c:v>
                </c:pt>
                <c:pt idx="597">
                  <c:v>50342.561818612878</c:v>
                </c:pt>
                <c:pt idx="598">
                  <c:v>50426.805807548328</c:v>
                </c:pt>
                <c:pt idx="599">
                  <c:v>50497.757077265298</c:v>
                </c:pt>
                <c:pt idx="600">
                  <c:v>50554.959589068909</c:v>
                </c:pt>
                <c:pt idx="601">
                  <c:v>50597.930446898092</c:v>
                </c:pt>
                <c:pt idx="602">
                  <c:v>50626.15761514617</c:v>
                </c:pt>
                <c:pt idx="603">
                  <c:v>50639.09738382879</c:v>
                </c:pt>
                <c:pt idx="604">
                  <c:v>50636.171546342615</c:v>
                </c:pt>
                <c:pt idx="605">
                  <c:v>50616.764249325977</c:v>
                </c:pt>
                <c:pt idx="606">
                  <c:v>50580.218467294551</c:v>
                </c:pt>
                <c:pt idx="607">
                  <c:v>50525.832046537347</c:v>
                </c:pt>
                <c:pt idx="608">
                  <c:v>50452.853252914014</c:v>
                </c:pt>
                <c:pt idx="609">
                  <c:v>50360.475746311386</c:v>
                </c:pt>
                <c:pt idx="610">
                  <c:v>50247.832890110265</c:v>
                </c:pt>
                <c:pt idx="611">
                  <c:v>50113.991286470678</c:v>
                </c:pt>
                <c:pt idx="612">
                  <c:v>49957.943406784427</c:v>
                </c:pt>
                <c:pt idx="613">
                  <c:v>49778.599160269674</c:v>
                </c:pt>
                <c:pt idx="614">
                  <c:v>49574.776211110926</c:v>
                </c:pt>
                <c:pt idx="615">
                  <c:v>49345.188814121757</c:v>
                </c:pt>
                <c:pt idx="616">
                  <c:v>49088.434888478041</c:v>
                </c:pt>
                <c:pt idx="617">
                  <c:v>48802.980985833521</c:v>
                </c:pt>
                <c:pt idx="618">
                  <c:v>48487.144729421168</c:v>
                </c:pt>
                <c:pt idx="619">
                  <c:v>48139.074199746123</c:v>
                </c:pt>
                <c:pt idx="620">
                  <c:v>47756.723613845883</c:v>
                </c:pt>
                <c:pt idx="621">
                  <c:v>47337.824480463278</c:v>
                </c:pt>
                <c:pt idx="622">
                  <c:v>46879.851201814374</c:v>
                </c:pt>
                <c:pt idx="623">
                  <c:v>46379.979819438864</c:v>
                </c:pt>
                <c:pt idx="624">
                  <c:v>45835.038247994104</c:v>
                </c:pt>
                <c:pt idx="625">
                  <c:v>45241.445882548789</c:v>
                </c:pt>
                <c:pt idx="626">
                  <c:v>44595.139871755673</c:v>
                </c:pt>
                <c:pt idx="627">
                  <c:v>43891.484585759848</c:v>
                </c:pt>
                <c:pt idx="628">
                  <c:v>43125.15983710561</c:v>
                </c:pt>
                <c:pt idx="629">
                  <c:v>42290.022209425719</c:v>
                </c:pt>
                <c:pt idx="630">
                  <c:v>41378.932428204003</c:v>
                </c:pt>
                <c:pt idx="631">
                  <c:v>40383.540200153373</c:v>
                </c:pt>
                <c:pt idx="632">
                  <c:v>39294.016758936777</c:v>
                </c:pt>
                <c:pt idx="633">
                  <c:v>38098.725523381931</c:v>
                </c:pt>
                <c:pt idx="634">
                  <c:v>36783.825226862893</c:v>
                </c:pt>
                <c:pt idx="635">
                  <c:v>35332.812971414503</c:v>
                </c:pt>
                <c:pt idx="636">
                  <c:v>33726.048094261227</c:v>
                </c:pt>
                <c:pt idx="637">
                  <c:v>31940.373095899511</c:v>
                </c:pt>
                <c:pt idx="638">
                  <c:v>29949.100622638627</c:v>
                </c:pt>
                <c:pt idx="639">
                  <c:v>27722.901866994238</c:v>
                </c:pt>
                <c:pt idx="640">
                  <c:v>25232.46843227042</c:v>
                </c:pt>
                <c:pt idx="641">
                  <c:v>22453.868954031579</c:v>
                </c:pt>
                <c:pt idx="642">
                  <c:v>19376.338079967092</c:v>
                </c:pt>
                <c:pt idx="643">
                  <c:v>16009.034210031723</c:v>
                </c:pt>
                <c:pt idx="644">
                  <c:v>12380.473674333676</c:v>
                </c:pt>
                <c:pt idx="645">
                  <c:v>8527.8266407798201</c:v>
                </c:pt>
                <c:pt idx="646">
                  <c:v>4482.0863648727318</c:v>
                </c:pt>
                <c:pt idx="647">
                  <c:v>256.14217706724423</c:v>
                </c:pt>
                <c:pt idx="648">
                  <c:v>-4166.1736343742905</c:v>
                </c:pt>
                <c:pt idx="649">
                  <c:v>-8829.3669558564161</c:v>
                </c:pt>
                <c:pt idx="650">
                  <c:v>-13738.956866144543</c:v>
                </c:pt>
                <c:pt idx="651">
                  <c:v>-18746.928213054576</c:v>
                </c:pt>
                <c:pt idx="652">
                  <c:v>-23614.26400201831</c:v>
                </c:pt>
                <c:pt idx="653">
                  <c:v>-28200.919702484571</c:v>
                </c:pt>
                <c:pt idx="654">
                  <c:v>-32493.263343874944</c:v>
                </c:pt>
                <c:pt idx="655">
                  <c:v>-36525.226880300448</c:v>
                </c:pt>
                <c:pt idx="656">
                  <c:v>-40335.943664427788</c:v>
                </c:pt>
                <c:pt idx="657">
                  <c:v>-43958.867772883554</c:v>
                </c:pt>
                <c:pt idx="658">
                  <c:v>-47420.764648545883</c:v>
                </c:pt>
                <c:pt idx="659">
                  <c:v>-50742.839925682223</c:v>
                </c:pt>
                <c:pt idx="660">
                  <c:v>-53942.023579260785</c:v>
                </c:pt>
                <c:pt idx="661">
                  <c:v>-57032.008881627902</c:v>
                </c:pt>
                <c:pt idx="662">
                  <c:v>-60024.027926970659</c:v>
                </c:pt>
                <c:pt idx="663">
                  <c:v>-62927.41949046505</c:v>
                </c:pt>
                <c:pt idx="664">
                  <c:v>-65750.045580878053</c:v>
                </c:pt>
                <c:pt idx="665">
                  <c:v>-68498.60003965057</c:v>
                </c:pt>
                <c:pt idx="666">
                  <c:v>-71178.84013265642</c:v>
                </c:pt>
                <c:pt idx="667">
                  <c:v>-73795.762751822462</c:v>
                </c:pt>
                <c:pt idx="668">
                  <c:v>-76353.740302489605</c:v>
                </c:pt>
                <c:pt idx="669">
                  <c:v>-78856.626863726357</c:v>
                </c:pt>
                <c:pt idx="670">
                  <c:v>-81307.842136777253</c:v>
                </c:pt>
                <c:pt idx="671">
                  <c:v>-83710.438582073679</c:v>
                </c:pt>
                <c:pt idx="672">
                  <c:v>-86067.155675201677</c:v>
                </c:pt>
                <c:pt idx="673">
                  <c:v>-88380.464178537586</c:v>
                </c:pt>
                <c:pt idx="674">
                  <c:v>-90652.602589535352</c:v>
                </c:pt>
                <c:pt idx="675">
                  <c:v>-92885.607396576917</c:v>
                </c:pt>
                <c:pt idx="676">
                  <c:v>-95081.338386822477</c:v>
                </c:pt>
                <c:pt idx="677">
                  <c:v>-97241.499965469542</c:v>
                </c:pt>
                <c:pt idx="678">
                  <c:v>-99367.659233308063</c:v>
                </c:pt>
                <c:pt idx="679">
                  <c:v>-101461.26140934328</c:v>
                </c:pt>
                <c:pt idx="680">
                  <c:v>-103523.64306343345</c:v>
                </c:pt>
                <c:pt idx="681">
                  <c:v>-105556.0435303337</c:v>
                </c:pt>
                <c:pt idx="682">
                  <c:v>-107559.61480405656</c:v>
                </c:pt>
                <c:pt idx="683">
                  <c:v>-109535.43015484035</c:v>
                </c:pt>
                <c:pt idx="684">
                  <c:v>-111484.49166643935</c:v>
                </c:pt>
                <c:pt idx="685">
                  <c:v>-113407.73685609418</c:v>
                </c:pt>
                <c:pt idx="686">
                  <c:v>-115306.04451130176</c:v>
                </c:pt>
                <c:pt idx="687">
                  <c:v>-117180.23985480081</c:v>
                </c:pt>
                <c:pt idx="688">
                  <c:v>-119031.09913082064</c:v>
                </c:pt>
                <c:pt idx="689">
                  <c:v>-120859.3536906924</c:v>
                </c:pt>
                <c:pt idx="690">
                  <c:v>-122665.69364368715</c:v>
                </c:pt>
                <c:pt idx="691">
                  <c:v>-124450.77112887926</c:v>
                </c:pt>
                <c:pt idx="692">
                  <c:v>-126215.20325550783</c:v>
                </c:pt>
                <c:pt idx="693">
                  <c:v>-127959.57475239152</c:v>
                </c:pt>
                <c:pt idx="694">
                  <c:v>-129684.44036117691</c:v>
                </c:pt>
                <c:pt idx="695">
                  <c:v>-131390.32700335802</c:v>
                </c:pt>
                <c:pt idx="696">
                  <c:v>-133077.73574692756</c:v>
                </c:pt>
                <c:pt idx="697">
                  <c:v>-134747.1435950741</c:v>
                </c:pt>
                <c:pt idx="698">
                  <c:v>-136399.00511641416</c:v>
                </c:pt>
                <c:pt idx="699">
                  <c:v>-138033.75393375824</c:v>
                </c:pt>
                <c:pt idx="700">
                  <c:v>-139651.80408627997</c:v>
                </c:pt>
                <c:pt idx="701">
                  <c:v>-141253.55127813277</c:v>
                </c:pt>
                <c:pt idx="702">
                  <c:v>-142839.37402498824</c:v>
                </c:pt>
                <c:pt idx="703">
                  <c:v>-144409.63470861447</c:v>
                </c:pt>
                <c:pt idx="704">
                  <c:v>-145964.68054844075</c:v>
                </c:pt>
                <c:pt idx="705">
                  <c:v>-147504.8444980366</c:v>
                </c:pt>
                <c:pt idx="706">
                  <c:v>-149030.44607354762</c:v>
                </c:pt>
                <c:pt idx="707">
                  <c:v>-150541.79212035699</c:v>
                </c:pt>
                <c:pt idx="708">
                  <c:v>-152039.17752356656</c:v>
                </c:pt>
                <c:pt idx="709">
                  <c:v>-153522.88586729672</c:v>
                </c:pt>
                <c:pt idx="710">
                  <c:v>-154993.1900472847</c:v>
                </c:pt>
                <c:pt idx="711">
                  <c:v>-156450.35284080062</c:v>
                </c:pt>
                <c:pt idx="712">
                  <c:v>-157894.6274374958</c:v>
                </c:pt>
                <c:pt idx="713">
                  <c:v>-159326.25793443865</c:v>
                </c:pt>
                <c:pt idx="714">
                  <c:v>-160745.47979827604</c:v>
                </c:pt>
                <c:pt idx="715">
                  <c:v>-162152.52029717463</c:v>
                </c:pt>
                <c:pt idx="716">
                  <c:v>-163547.59890494624</c:v>
                </c:pt>
                <c:pt idx="717">
                  <c:v>-164930.92767953593</c:v>
                </c:pt>
                <c:pt idx="718">
                  <c:v>-166302.7116178523</c:v>
                </c:pt>
                <c:pt idx="719">
                  <c:v>-167663.14898873921</c:v>
                </c:pt>
                <c:pt idx="720">
                  <c:v>-169012.43164572827</c:v>
                </c:pt>
                <c:pt idx="721">
                  <c:v>-170350.74532106667</c:v>
                </c:pt>
                <c:pt idx="722">
                  <c:v>-171678.26990238542</c:v>
                </c:pt>
                <c:pt idx="723">
                  <c:v>-172995.17969325595</c:v>
                </c:pt>
                <c:pt idx="724">
                  <c:v>-174301.64365877808</c:v>
                </c:pt>
                <c:pt idx="725">
                  <c:v>-175597.82565724687</c:v>
                </c:pt>
                <c:pt idx="726">
                  <c:v>-176883.88465885949</c:v>
                </c:pt>
                <c:pt idx="727">
                  <c:v>-178159.97495234577</c:v>
                </c:pt>
                <c:pt idx="728">
                  <c:v>-179426.24634033506</c:v>
                </c:pt>
                <c:pt idx="729">
                  <c:v>-180682.84432420766</c:v>
                </c:pt>
                <c:pt idx="730">
                  <c:v>-181929.9102791207</c:v>
                </c:pt>
                <c:pt idx="731">
                  <c:v>-183167.58161984541</c:v>
                </c:pt>
                <c:pt idx="732">
                  <c:v>-184395.99195800369</c:v>
                </c:pt>
                <c:pt idx="733">
                  <c:v>-185615.27125124796</c:v>
                </c:pt>
                <c:pt idx="734">
                  <c:v>-186825.54594488803</c:v>
                </c:pt>
                <c:pt idx="735">
                  <c:v>-188026.93910643097</c:v>
                </c:pt>
                <c:pt idx="736">
                  <c:v>-189219.57055346711</c:v>
                </c:pt>
                <c:pt idx="737">
                  <c:v>-190403.55697530304</c:v>
                </c:pt>
                <c:pt idx="738">
                  <c:v>-191579.01204871523</c:v>
                </c:pt>
                <c:pt idx="739">
                  <c:v>-192746.04654817065</c:v>
                </c:pt>
                <c:pt idx="740">
                  <c:v>-193904.76845083741</c:v>
                </c:pt>
                <c:pt idx="741">
                  <c:v>-195055.28303668578</c:v>
                </c:pt>
                <c:pt idx="742">
                  <c:v>-196197.69298396001</c:v>
                </c:pt>
                <c:pt idx="743">
                  <c:v>-197332.09846028197</c:v>
                </c:pt>
                <c:pt idx="744">
                  <c:v>-198458.59720963106</c:v>
                </c:pt>
                <c:pt idx="745">
                  <c:v>-199577.28463542779</c:v>
                </c:pt>
                <c:pt idx="746">
                  <c:v>-200688.25387993464</c:v>
                </c:pt>
                <c:pt idx="747">
                  <c:v>-201791.59590017312</c:v>
                </c:pt>
                <c:pt idx="748">
                  <c:v>-202887.39954054402</c:v>
                </c:pt>
                <c:pt idx="749">
                  <c:v>-203975.75160232559</c:v>
                </c:pt>
                <c:pt idx="750">
                  <c:v>-205056.73691021366</c:v>
                </c:pt>
                <c:pt idx="751">
                  <c:v>-206130.4383760574</c:v>
                </c:pt>
                <c:pt idx="752">
                  <c:v>-207196.9370599353</c:v>
                </c:pt>
                <c:pt idx="753">
                  <c:v>-208256.31222870681</c:v>
                </c:pt>
                <c:pt idx="754">
                  <c:v>-209308.64141216723</c:v>
                </c:pt>
                <c:pt idx="755">
                  <c:v>-210354.00045692571</c:v>
                </c:pt>
                <c:pt idx="756">
                  <c:v>-211392.46357811932</c:v>
                </c:pt>
                <c:pt idx="757">
                  <c:v>-212424.10340906898</c:v>
                </c:pt>
                <c:pt idx="758">
                  <c:v>-213448.99104897803</c:v>
                </c:pt>
                <c:pt idx="759">
                  <c:v>-214467.19610876715</c:v>
                </c:pt>
                <c:pt idx="760">
                  <c:v>-215478.78675513499</c:v>
                </c:pt>
                <c:pt idx="761">
                  <c:v>-216483.82975292849</c:v>
                </c:pt>
                <c:pt idx="762">
                  <c:v>-217482.39050590177</c:v>
                </c:pt>
                <c:pt idx="763">
                  <c:v>-218474.53309593923</c:v>
                </c:pt>
                <c:pt idx="764">
                  <c:v>-219460.32032081287</c:v>
                </c:pt>
                <c:pt idx="765">
                  <c:v>-220439.81373054133</c:v>
                </c:pt>
                <c:pt idx="766">
                  <c:v>-221413.07366241381</c:v>
                </c:pt>
                <c:pt idx="767">
                  <c:v>-222380.15927473881</c:v>
                </c:pt>
                <c:pt idx="768">
                  <c:v>-223341.12857937452</c:v>
                </c:pt>
                <c:pt idx="769">
                  <c:v>-224296.03847309452</c:v>
                </c:pt>
                <c:pt idx="770">
                  <c:v>-225244.94476784012</c:v>
                </c:pt>
                <c:pt idx="771">
                  <c:v>-226187.90221990735</c:v>
                </c:pt>
                <c:pt idx="772">
                  <c:v>-227124.96455811471</c:v>
                </c:pt>
                <c:pt idx="773">
                  <c:v>-228056.18451099502</c:v>
                </c:pt>
                <c:pt idx="774">
                  <c:v>-228981.61383305307</c:v>
                </c:pt>
                <c:pt idx="775">
                  <c:v>-229901.30333012785</c:v>
                </c:pt>
                <c:pt idx="776">
                  <c:v>-230815.30288389736</c:v>
                </c:pt>
                <c:pt idx="777">
                  <c:v>-231723.66147556089</c:v>
                </c:pt>
                <c:pt idx="778">
                  <c:v>-232626.42720873284</c:v>
                </c:pt>
                <c:pt idx="779">
                  <c:v>-233523.64733158023</c:v>
                </c:pt>
                <c:pt idx="780">
                  <c:v>-234415.36825823426</c:v>
                </c:pt>
                <c:pt idx="781">
                  <c:v>-235301.63558950534</c:v>
                </c:pt>
                <c:pt idx="782">
                  <c:v>-236182.49413292922</c:v>
                </c:pt>
                <c:pt idx="783">
                  <c:v>-237057.9879221704</c:v>
                </c:pt>
                <c:pt idx="784">
                  <c:v>-237928.16023580858</c:v>
                </c:pt>
                <c:pt idx="785">
                  <c:v>-238793.05361553153</c:v>
                </c:pt>
                <c:pt idx="786">
                  <c:v>-239652.70988375798</c:v>
                </c:pt>
                <c:pt idx="787">
                  <c:v>-240507.17016071189</c:v>
                </c:pt>
                <c:pt idx="788">
                  <c:v>-241356.47488096915</c:v>
                </c:pt>
                <c:pt idx="789">
                  <c:v>-242200.66380949685</c:v>
                </c:pt>
                <c:pt idx="790">
                  <c:v>-243039.77605720403</c:v>
                </c:pt>
                <c:pt idx="791">
                  <c:v>-243873.85009602201</c:v>
                </c:pt>
                <c:pt idx="792">
                  <c:v>-244702.92377353198</c:v>
                </c:pt>
                <c:pt idx="793">
                  <c:v>-245527.03432715623</c:v>
                </c:pt>
                <c:pt idx="794">
                  <c:v>-246346.21839792927</c:v>
                </c:pt>
                <c:pt idx="795">
                  <c:v>-247160.51204386374</c:v>
                </c:pt>
                <c:pt idx="796">
                  <c:v>-247969.9507529258</c:v>
                </c:pt>
                <c:pt idx="797">
                  <c:v>-248774.56945563431</c:v>
                </c:pt>
                <c:pt idx="798">
                  <c:v>-249574.40253729661</c:v>
                </c:pt>
                <c:pt idx="799">
                  <c:v>-250369.48384989414</c:v>
                </c:pt>
                <c:pt idx="800">
                  <c:v>-251159.84672363001</c:v>
                </c:pt>
                <c:pt idx="801">
                  <c:v>-251945.52397815028</c:v>
                </c:pt>
                <c:pt idx="802">
                  <c:v>-252726.54793345032</c:v>
                </c:pt>
                <c:pt idx="803">
                  <c:v>-253502.95042047717</c:v>
                </c:pt>
                <c:pt idx="804">
                  <c:v>-254274.76279143788</c:v>
                </c:pt>
                <c:pt idx="805">
                  <c:v>-255042.01592982429</c:v>
                </c:pt>
                <c:pt idx="806">
                  <c:v>-255804.74026016353</c:v>
                </c:pt>
                <c:pt idx="807">
                  <c:v>-256562.96575750347</c:v>
                </c:pt>
                <c:pt idx="808">
                  <c:v>-257316.72195664211</c:v>
                </c:pt>
                <c:pt idx="809">
                  <c:v>-258066.03796110908</c:v>
                </c:pt>
                <c:pt idx="810">
                  <c:v>-258810.9424519075</c:v>
                </c:pt>
                <c:pt idx="811">
                  <c:v>-259551.46369602441</c:v>
                </c:pt>
                <c:pt idx="812">
                  <c:v>-260287.62955471667</c:v>
                </c:pt>
                <c:pt idx="813">
                  <c:v>-261019.46749157997</c:v>
                </c:pt>
                <c:pt idx="814">
                  <c:v>-261747.00458040778</c:v>
                </c:pt>
                <c:pt idx="815">
                  <c:v>-262470.26751284709</c:v>
                </c:pt>
                <c:pt idx="816">
                  <c:v>-263189.28260585706</c:v>
                </c:pt>
                <c:pt idx="817">
                  <c:v>-263904.07580897718</c:v>
                </c:pt>
                <c:pt idx="818">
                  <c:v>-264614.67271141039</c:v>
                </c:pt>
                <c:pt idx="819">
                  <c:v>-265321.09854892769</c:v>
                </c:pt>
                <c:pt idx="820">
                  <c:v>-266023.37821059889</c:v>
                </c:pt>
                <c:pt idx="821">
                  <c:v>-266721.53624535567</c:v>
                </c:pt>
                <c:pt idx="822">
                  <c:v>-267415.59686839121</c:v>
                </c:pt>
                <c:pt idx="823">
                  <c:v>-268105.58396740217</c:v>
                </c:pt>
                <c:pt idx="824">
                  <c:v>-268791.52110867738</c:v>
                </c:pt>
                <c:pt idx="825">
                  <c:v>-269473.43154303794</c:v>
                </c:pt>
                <c:pt idx="826">
                  <c:v>-270151.3382116328</c:v>
                </c:pt>
                <c:pt idx="827">
                  <c:v>-270825.26375159511</c:v>
                </c:pt>
                <c:pt idx="828">
                  <c:v>-271495.23050156207</c:v>
                </c:pt>
                <c:pt idx="829">
                  <c:v>-272161.26050706365</c:v>
                </c:pt>
                <c:pt idx="830">
                  <c:v>-272823.37552578299</c:v>
                </c:pt>
                <c:pt idx="831">
                  <c:v>-273481.59703269275</c:v>
                </c:pt>
                <c:pt idx="832">
                  <c:v>-274135.94622507092</c:v>
                </c:pt>
                <c:pt idx="833">
                  <c:v>-274786.44402739912</c:v>
                </c:pt>
                <c:pt idx="834">
                  <c:v>-275433.11109614774</c:v>
                </c:pt>
                <c:pt idx="835">
                  <c:v>-276075.96782445005</c:v>
                </c:pt>
                <c:pt idx="836">
                  <c:v>-276715.03434666881</c:v>
                </c:pt>
                <c:pt idx="837">
                  <c:v>-277350.33054285886</c:v>
                </c:pt>
                <c:pt idx="838">
                  <c:v>-277981.87604312802</c:v>
                </c:pt>
                <c:pt idx="839">
                  <c:v>-278609.69023189927</c:v>
                </c:pt>
                <c:pt idx="840">
                  <c:v>-279233.79225207708</c:v>
                </c:pt>
                <c:pt idx="841">
                  <c:v>-279854.20100912038</c:v>
                </c:pt>
                <c:pt idx="842">
                  <c:v>-280470.93517502502</c:v>
                </c:pt>
                <c:pt idx="843">
                  <c:v>-281084.01319221751</c:v>
                </c:pt>
                <c:pt idx="844">
                  <c:v>-281693.45327736338</c:v>
                </c:pt>
                <c:pt idx="845">
                  <c:v>-282299.27342509181</c:v>
                </c:pt>
                <c:pt idx="846">
                  <c:v>-282901.49141163891</c:v>
                </c:pt>
                <c:pt idx="847">
                  <c:v>-283500.12479841168</c:v>
                </c:pt>
                <c:pt idx="848">
                  <c:v>-284095.1909354754</c:v>
                </c:pt>
                <c:pt idx="849">
                  <c:v>-284686.7069649655</c:v>
                </c:pt>
                <c:pt idx="850">
                  <c:v>-285274.68982442701</c:v>
                </c:pt>
                <c:pt idx="851">
                  <c:v>-285859.15625008219</c:v>
                </c:pt>
                <c:pt idx="852">
                  <c:v>-286440.12278002925</c:v>
                </c:pt>
                <c:pt idx="853">
                  <c:v>-287017.60575737391</c:v>
                </c:pt>
                <c:pt idx="854">
                  <c:v>-287591.62133329461</c:v>
                </c:pt>
                <c:pt idx="855">
                  <c:v>-288162.18547004403</c:v>
                </c:pt>
                <c:pt idx="856">
                  <c:v>-288729.31394388824</c:v>
                </c:pt>
                <c:pt idx="857">
                  <c:v>-289293.02234798472</c:v>
                </c:pt>
                <c:pt idx="858">
                  <c:v>-289853.32609520154</c:v>
                </c:pt>
                <c:pt idx="859">
                  <c:v>-290410.2404208784</c:v>
                </c:pt>
                <c:pt idx="860">
                  <c:v>-290963.78038553119</c:v>
                </c:pt>
                <c:pt idx="861">
                  <c:v>-291513.96087750228</c:v>
                </c:pt>
                <c:pt idx="862">
                  <c:v>-292060.79661555635</c:v>
                </c:pt>
                <c:pt idx="863">
                  <c:v>-292604.30215142464</c:v>
                </c:pt>
                <c:pt idx="864">
                  <c:v>-293144.49187229783</c:v>
                </c:pt>
                <c:pt idx="865">
                  <c:v>-293681.38000326941</c:v>
                </c:pt>
                <c:pt idx="866">
                  <c:v>-294214.98060973041</c:v>
                </c:pt>
                <c:pt idx="867">
                  <c:v>-294745.30759971688</c:v>
                </c:pt>
                <c:pt idx="868">
                  <c:v>-295272.37472621095</c:v>
                </c:pt>
                <c:pt idx="869">
                  <c:v>-295796.1955893971</c:v>
                </c:pt>
                <c:pt idx="870">
                  <c:v>-296316.7836388743</c:v>
                </c:pt>
                <c:pt idx="871">
                  <c:v>-296834.15217582491</c:v>
                </c:pt>
                <c:pt idx="872">
                  <c:v>-297348.31435514212</c:v>
                </c:pt>
                <c:pt idx="873">
                  <c:v>-297859.28318751598</c:v>
                </c:pt>
                <c:pt idx="874">
                  <c:v>-298367.07154147956</c:v>
                </c:pt>
                <c:pt idx="875">
                  <c:v>-298871.6921454164</c:v>
                </c:pt>
                <c:pt idx="876">
                  <c:v>-299373.15758952906</c:v>
                </c:pt>
                <c:pt idx="877">
                  <c:v>-299871.48032777116</c:v>
                </c:pt>
                <c:pt idx="878">
                  <c:v>-300366.67267974245</c:v>
                </c:pt>
                <c:pt idx="879">
                  <c:v>-300858.74683254858</c:v>
                </c:pt>
                <c:pt idx="880">
                  <c:v>-301347.71484262589</c:v>
                </c:pt>
                <c:pt idx="881">
                  <c:v>-301833.58863753255</c:v>
                </c:pt>
                <c:pt idx="882">
                  <c:v>-302316.38001770602</c:v>
                </c:pt>
                <c:pt idx="883">
                  <c:v>-302796.10065818852</c:v>
                </c:pt>
                <c:pt idx="884">
                  <c:v>-303272.76211032033</c:v>
                </c:pt>
                <c:pt idx="885">
                  <c:v>-303746.37580340257</c:v>
                </c:pt>
                <c:pt idx="886">
                  <c:v>-304216.95304632903</c:v>
                </c:pt>
                <c:pt idx="887">
                  <c:v>-304684.50502918876</c:v>
                </c:pt>
                <c:pt idx="888">
                  <c:v>-305149.04282483959</c:v>
                </c:pt>
                <c:pt idx="889">
                  <c:v>-305610.57739045325</c:v>
                </c:pt>
                <c:pt idx="890">
                  <c:v>-306069.11956903263</c:v>
                </c:pt>
                <c:pt idx="891">
                  <c:v>-306524.68009090185</c:v>
                </c:pt>
                <c:pt idx="892">
                  <c:v>-306977.26957517007</c:v>
                </c:pt>
                <c:pt idx="893">
                  <c:v>-307426.89853116922</c:v>
                </c:pt>
                <c:pt idx="894">
                  <c:v>-307873.57735986583</c:v>
                </c:pt>
                <c:pt idx="895">
                  <c:v>-308317.31635524874</c:v>
                </c:pt>
                <c:pt idx="896">
                  <c:v>-308758.12570569169</c:v>
                </c:pt>
                <c:pt idx="897">
                  <c:v>-309196.0154952929</c:v>
                </c:pt>
                <c:pt idx="898">
                  <c:v>-309630.99570519041</c:v>
                </c:pt>
                <c:pt idx="899">
                  <c:v>-310063.07621485525</c:v>
                </c:pt>
                <c:pt idx="900">
                  <c:v>-310492.26680336206</c:v>
                </c:pt>
                <c:pt idx="901">
                  <c:v>-310918.57715063763</c:v>
                </c:pt>
                <c:pt idx="902">
                  <c:v>-311342.01683868817</c:v>
                </c:pt>
                <c:pt idx="903">
                  <c:v>-311762.59535280569</c:v>
                </c:pt>
                <c:pt idx="904">
                  <c:v>-312180.32208275347</c:v>
                </c:pt>
                <c:pt idx="905">
                  <c:v>-312595.20632393175</c:v>
                </c:pt>
                <c:pt idx="906">
                  <c:v>-313007.25727852341</c:v>
                </c:pt>
                <c:pt idx="907">
                  <c:v>-313416.48405662057</c:v>
                </c:pt>
                <c:pt idx="908">
                  <c:v>-313822.89567733189</c:v>
                </c:pt>
                <c:pt idx="909">
                  <c:v>-314226.50106987177</c:v>
                </c:pt>
                <c:pt idx="910">
                  <c:v>-314627.30907463108</c:v>
                </c:pt>
                <c:pt idx="911">
                  <c:v>-315025.32844423008</c:v>
                </c:pt>
                <c:pt idx="912">
                  <c:v>-315420.56784455397</c:v>
                </c:pt>
                <c:pt idx="913">
                  <c:v>-315813.03585577133</c:v>
                </c:pt>
                <c:pt idx="914">
                  <c:v>-316202.74097333563</c:v>
                </c:pt>
                <c:pt idx="915">
                  <c:v>-316589.6916089704</c:v>
                </c:pt>
                <c:pt idx="916">
                  <c:v>-316973.89609163842</c:v>
                </c:pt>
                <c:pt idx="917">
                  <c:v>-317355.36266849493</c:v>
                </c:pt>
                <c:pt idx="918">
                  <c:v>-317734.09950582526</c:v>
                </c:pt>
                <c:pt idx="919">
                  <c:v>-318110.11468996742</c:v>
                </c:pt>
                <c:pt idx="920">
                  <c:v>-318483.41622821987</c:v>
                </c:pt>
                <c:pt idx="921">
                  <c:v>-318854.0120497343</c:v>
                </c:pt>
                <c:pt idx="922">
                  <c:v>-319221.91000639461</c:v>
                </c:pt>
                <c:pt idx="923">
                  <c:v>-319587.11787368124</c:v>
                </c:pt>
                <c:pt idx="924">
                  <c:v>-319949.64335152222</c:v>
                </c:pt>
                <c:pt idx="925">
                  <c:v>-320309.49406513036</c:v>
                </c:pt>
                <c:pt idx="926">
                  <c:v>-320666.67756582733</c:v>
                </c:pt>
                <c:pt idx="927">
                  <c:v>-321021.20133185457</c:v>
                </c:pt>
                <c:pt idx="928">
                  <c:v>-321373.0727691715</c:v>
                </c:pt>
                <c:pt idx="929">
                  <c:v>-321722.2992122412</c:v>
                </c:pt>
                <c:pt idx="930">
                  <c:v>-322068.88792480383</c:v>
                </c:pt>
                <c:pt idx="931">
                  <c:v>-322412.84610063769</c:v>
                </c:pt>
                <c:pt idx="932">
                  <c:v>-322754.18086430884</c:v>
                </c:pt>
                <c:pt idx="933">
                  <c:v>-323092.89927190874</c:v>
                </c:pt>
                <c:pt idx="934">
                  <c:v>-323429.00831178046</c:v>
                </c:pt>
                <c:pt idx="935">
                  <c:v>-323762.51490523393</c:v>
                </c:pt>
                <c:pt idx="936">
                  <c:v>-324093.42590724997</c:v>
                </c:pt>
                <c:pt idx="937">
                  <c:v>-324421.74810717354</c:v>
                </c:pt>
                <c:pt idx="938">
                  <c:v>-324747.4882293964</c:v>
                </c:pt>
                <c:pt idx="939">
                  <c:v>-325070.65293402929</c:v>
                </c:pt>
                <c:pt idx="940">
                  <c:v>-325391.24881756376</c:v>
                </c:pt>
                <c:pt idx="941">
                  <c:v>-325709.28241352428</c:v>
                </c:pt>
                <c:pt idx="942">
                  <c:v>-326024.76019310998</c:v>
                </c:pt>
                <c:pt idx="943">
                  <c:v>-326337.68856582715</c:v>
                </c:pt>
                <c:pt idx="944">
                  <c:v>-326648.07388011192</c:v>
                </c:pt>
                <c:pt idx="945">
                  <c:v>-326955.92242394353</c:v>
                </c:pt>
                <c:pt idx="946">
                  <c:v>-327261.24042544863</c:v>
                </c:pt>
                <c:pt idx="947">
                  <c:v>-327564.03405349626</c:v>
                </c:pt>
                <c:pt idx="948">
                  <c:v>-327864.30941828416</c:v>
                </c:pt>
                <c:pt idx="949">
                  <c:v>-328162.07257191621</c:v>
                </c:pt>
                <c:pt idx="950">
                  <c:v>-328457.32950897131</c:v>
                </c:pt>
                <c:pt idx="951">
                  <c:v>-328750.0861670638</c:v>
                </c:pt>
                <c:pt idx="952">
                  <c:v>-329040.34842739569</c:v>
                </c:pt>
                <c:pt idx="953">
                  <c:v>-329328.1221153005</c:v>
                </c:pt>
                <c:pt idx="954">
                  <c:v>-329613.41300077946</c:v>
                </c:pt>
                <c:pt idx="955">
                  <c:v>-329896.22679902933</c:v>
                </c:pt>
                <c:pt idx="956">
                  <c:v>-330176.5691709629</c:v>
                </c:pt>
                <c:pt idx="957">
                  <c:v>-330454.44572372176</c:v>
                </c:pt>
                <c:pt idx="958">
                  <c:v>-330729.86201118119</c:v>
                </c:pt>
                <c:pt idx="959">
                  <c:v>-331002.82353444851</c:v>
                </c:pt>
                <c:pt idx="960">
                  <c:v>-331273.33574235317</c:v>
                </c:pt>
                <c:pt idx="961">
                  <c:v>-331541.40403193067</c:v>
                </c:pt>
                <c:pt idx="962">
                  <c:v>-331807.0337488986</c:v>
                </c:pt>
                <c:pt idx="963">
                  <c:v>-332070.2301881265</c:v>
                </c:pt>
                <c:pt idx="964">
                  <c:v>-332330.99859409849</c:v>
                </c:pt>
                <c:pt idx="965">
                  <c:v>-332589.34416136955</c:v>
                </c:pt>
                <c:pt idx="966">
                  <c:v>-332845.27203501476</c:v>
                </c:pt>
                <c:pt idx="967">
                  <c:v>-333098.78731107264</c:v>
                </c:pt>
                <c:pt idx="968">
                  <c:v>-333349.89503698167</c:v>
                </c:pt>
                <c:pt idx="969">
                  <c:v>-333598.6002120109</c:v>
                </c:pt>
                <c:pt idx="970">
                  <c:v>-333844.90778768412</c:v>
                </c:pt>
                <c:pt idx="971">
                  <c:v>-334088.82266819815</c:v>
                </c:pt>
                <c:pt idx="972">
                  <c:v>-334330.34971083509</c:v>
                </c:pt>
                <c:pt idx="973">
                  <c:v>-334569.49372636876</c:v>
                </c:pt>
                <c:pt idx="974">
                  <c:v>-334806.25947946537</c:v>
                </c:pt>
                <c:pt idx="975">
                  <c:v>-335040.65168907831</c:v>
                </c:pt>
                <c:pt idx="976">
                  <c:v>-335272.67502883764</c:v>
                </c:pt>
                <c:pt idx="977">
                  <c:v>-335502.33412743371</c:v>
                </c:pt>
                <c:pt idx="978">
                  <c:v>-335729.63356899581</c:v>
                </c:pt>
                <c:pt idx="979">
                  <c:v>-335954.577893465</c:v>
                </c:pt>
                <c:pt idx="980">
                  <c:v>-336177.17159696185</c:v>
                </c:pt>
                <c:pt idx="981">
                  <c:v>-336397.41913214925</c:v>
                </c:pt>
                <c:pt idx="982">
                  <c:v>-336615.32490858983</c:v>
                </c:pt>
                <c:pt idx="983">
                  <c:v>-336830.8932930982</c:v>
                </c:pt>
                <c:pt idx="984">
                  <c:v>-337044.12861008866</c:v>
                </c:pt>
                <c:pt idx="985">
                  <c:v>-337255.03514191788</c:v>
                </c:pt>
                <c:pt idx="986">
                  <c:v>-337463.61712922243</c:v>
                </c:pt>
                <c:pt idx="987">
                  <c:v>-337669.87877125212</c:v>
                </c:pt>
                <c:pt idx="988">
                  <c:v>-337873.82422619831</c:v>
                </c:pt>
                <c:pt idx="989">
                  <c:v>-338075.45761151763</c:v>
                </c:pt>
                <c:pt idx="990">
                  <c:v>-338274.78300425137</c:v>
                </c:pt>
                <c:pt idx="991">
                  <c:v>-338471.80444134033</c:v>
                </c:pt>
                <c:pt idx="992">
                  <c:v>-338666.52591993508</c:v>
                </c:pt>
                <c:pt idx="993">
                  <c:v>-338858.95139770216</c:v>
                </c:pt>
                <c:pt idx="994">
                  <c:v>-339049.08479312569</c:v>
                </c:pt>
                <c:pt idx="995">
                  <c:v>-339236.92998580518</c:v>
                </c:pt>
                <c:pt idx="996">
                  <c:v>-339422.49081674882</c:v>
                </c:pt>
                <c:pt idx="997">
                  <c:v>-339605.77108866285</c:v>
                </c:pt>
                <c:pt idx="998">
                  <c:v>-339786.77456623694</c:v>
                </c:pt>
                <c:pt idx="999">
                  <c:v>-339965.50497642532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26-4A91-9BD9-24A8E2CC3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866704"/>
        <c:axId val="410867120"/>
      </c:scatterChart>
      <c:valAx>
        <c:axId val="41086670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0867120"/>
        <c:crosses val="autoZero"/>
        <c:crossBetween val="midCat"/>
      </c:valAx>
      <c:valAx>
        <c:axId val="410867120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086670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453503053571481E-2"/>
          <c:y val="2.5609932679760913E-2"/>
          <c:w val="0.92637455829618842"/>
          <c:h val="0.93250414656705616"/>
        </c:manualLayout>
      </c:layout>
      <c:scatterChart>
        <c:scatterStyle val="lineMarker"/>
        <c:varyColors val="0"/>
        <c:ser>
          <c:idx val="0"/>
          <c:order val="0"/>
          <c:spPr>
            <a:ln w="88900" cap="rnd">
              <a:solidFill>
                <a:schemeClr val="accent4"/>
              </a:solidFill>
              <a:round/>
              <a:headEnd type="triangle"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22225">
                <a:solidFill>
                  <a:schemeClr val="accent4"/>
                </a:solidFill>
                <a:headEnd type="triangle" w="lg" len="lg"/>
              </a:ln>
              <a:effectLst/>
            </c:spPr>
          </c:marker>
          <c:xVal>
            <c:numRef>
              <c:f>Animation!$C$3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Animation!$D$3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EA-4636-AFC6-2416BCC21C2D}"/>
            </c:ext>
          </c:extLst>
        </c:ser>
        <c:ser>
          <c:idx val="1"/>
          <c:order val="1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Données!$AI$5:$AI$37</c:f>
              <c:numCache>
                <c:formatCode>General</c:formatCode>
                <c:ptCount val="33"/>
                <c:pt idx="0">
                  <c:v>25000</c:v>
                </c:pt>
                <c:pt idx="1">
                  <c:v>24903.92640201615</c:v>
                </c:pt>
                <c:pt idx="2">
                  <c:v>24619.397662556432</c:v>
                </c:pt>
                <c:pt idx="3">
                  <c:v>24157.348061512726</c:v>
                </c:pt>
                <c:pt idx="4">
                  <c:v>23535.533905932738</c:v>
                </c:pt>
                <c:pt idx="5">
                  <c:v>22777.851165098011</c:v>
                </c:pt>
                <c:pt idx="6">
                  <c:v>21913.417161825448</c:v>
                </c:pt>
                <c:pt idx="7">
                  <c:v>20975.451610080643</c:v>
                </c:pt>
                <c:pt idx="8">
                  <c:v>20000</c:v>
                </c:pt>
                <c:pt idx="9">
                  <c:v>19024.54838991936</c:v>
                </c:pt>
                <c:pt idx="10">
                  <c:v>18086.582838174552</c:v>
                </c:pt>
                <c:pt idx="11">
                  <c:v>17222.148834901989</c:v>
                </c:pt>
                <c:pt idx="12">
                  <c:v>16464.466094067262</c:v>
                </c:pt>
                <c:pt idx="13">
                  <c:v>15842.651938487274</c:v>
                </c:pt>
                <c:pt idx="14">
                  <c:v>15380.602337443564</c:v>
                </c:pt>
                <c:pt idx="15">
                  <c:v>15096.073597983846</c:v>
                </c:pt>
                <c:pt idx="16">
                  <c:v>15000</c:v>
                </c:pt>
                <c:pt idx="17">
                  <c:v>15096.07359798385</c:v>
                </c:pt>
                <c:pt idx="18">
                  <c:v>15380.602337443568</c:v>
                </c:pt>
                <c:pt idx="19">
                  <c:v>15842.651938487277</c:v>
                </c:pt>
                <c:pt idx="20">
                  <c:v>16464.466094067269</c:v>
                </c:pt>
                <c:pt idx="21">
                  <c:v>17222.148834901996</c:v>
                </c:pt>
                <c:pt idx="22">
                  <c:v>18086.58283817456</c:v>
                </c:pt>
                <c:pt idx="23">
                  <c:v>19024.548389919371</c:v>
                </c:pt>
                <c:pt idx="24">
                  <c:v>20000.000000000011</c:v>
                </c:pt>
                <c:pt idx="25">
                  <c:v>20975.451610080654</c:v>
                </c:pt>
                <c:pt idx="26">
                  <c:v>21913.417161825462</c:v>
                </c:pt>
                <c:pt idx="27">
                  <c:v>22777.851165098025</c:v>
                </c:pt>
                <c:pt idx="28">
                  <c:v>23535.533905932749</c:v>
                </c:pt>
                <c:pt idx="29">
                  <c:v>24157.348061512737</c:v>
                </c:pt>
                <c:pt idx="30">
                  <c:v>24619.397662556439</c:v>
                </c:pt>
                <c:pt idx="31">
                  <c:v>24903.926402016157</c:v>
                </c:pt>
                <c:pt idx="32">
                  <c:v>25000</c:v>
                </c:pt>
              </c:numCache>
            </c:numRef>
          </c:xVal>
          <c:yVal>
            <c:numRef>
              <c:f>Données!$AJ$5:$AJ$37</c:f>
              <c:numCache>
                <c:formatCode>General</c:formatCode>
                <c:ptCount val="33"/>
                <c:pt idx="0">
                  <c:v>7500</c:v>
                </c:pt>
                <c:pt idx="1">
                  <c:v>8475.4516100806413</c:v>
                </c:pt>
                <c:pt idx="2">
                  <c:v>9413.4171618254495</c:v>
                </c:pt>
                <c:pt idx="3">
                  <c:v>10277.851165098011</c:v>
                </c:pt>
                <c:pt idx="4">
                  <c:v>11035.533905932738</c:v>
                </c:pt>
                <c:pt idx="5">
                  <c:v>11657.348061512726</c:v>
                </c:pt>
                <c:pt idx="6">
                  <c:v>12119.397662556434</c:v>
                </c:pt>
                <c:pt idx="7">
                  <c:v>12403.926402016152</c:v>
                </c:pt>
                <c:pt idx="8">
                  <c:v>12500</c:v>
                </c:pt>
                <c:pt idx="9">
                  <c:v>12403.926402016152</c:v>
                </c:pt>
                <c:pt idx="10">
                  <c:v>12119.397662556434</c:v>
                </c:pt>
                <c:pt idx="11">
                  <c:v>11657.348061512726</c:v>
                </c:pt>
                <c:pt idx="12">
                  <c:v>11035.533905932738</c:v>
                </c:pt>
                <c:pt idx="13">
                  <c:v>10277.851165098011</c:v>
                </c:pt>
                <c:pt idx="14">
                  <c:v>9413.4171618254477</c:v>
                </c:pt>
                <c:pt idx="15">
                  <c:v>8475.4516100806395</c:v>
                </c:pt>
                <c:pt idx="16">
                  <c:v>7499.9999999999964</c:v>
                </c:pt>
                <c:pt idx="17">
                  <c:v>6524.5483899193541</c:v>
                </c:pt>
                <c:pt idx="18">
                  <c:v>5586.582838174545</c:v>
                </c:pt>
                <c:pt idx="19">
                  <c:v>4722.1488349019828</c:v>
                </c:pt>
                <c:pt idx="20">
                  <c:v>3964.4660940672566</c:v>
                </c:pt>
                <c:pt idx="21">
                  <c:v>3342.651938487269</c:v>
                </c:pt>
                <c:pt idx="22">
                  <c:v>2880.6023374435626</c:v>
                </c:pt>
                <c:pt idx="23">
                  <c:v>2596.0735979838455</c:v>
                </c:pt>
                <c:pt idx="24">
                  <c:v>2500</c:v>
                </c:pt>
                <c:pt idx="25">
                  <c:v>2596.073597983851</c:v>
                </c:pt>
                <c:pt idx="26">
                  <c:v>2880.6023374435717</c:v>
                </c:pt>
                <c:pt idx="27">
                  <c:v>3342.6519384872827</c:v>
                </c:pt>
                <c:pt idx="28">
                  <c:v>3964.4660940672743</c:v>
                </c:pt>
                <c:pt idx="29">
                  <c:v>4722.1488349020037</c:v>
                </c:pt>
                <c:pt idx="30">
                  <c:v>5586.5828381745687</c:v>
                </c:pt>
                <c:pt idx="31">
                  <c:v>6524.5483899193787</c:v>
                </c:pt>
                <c:pt idx="32">
                  <c:v>7500.0000000000209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9EA-4636-AFC6-2416BCC21C2D}"/>
            </c:ext>
          </c:extLst>
        </c:ser>
        <c:ser>
          <c:idx val="2"/>
          <c:order val="2"/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Données!$AK$5:$AK$37</c:f>
              <c:numCache>
                <c:formatCode>General</c:formatCode>
                <c:ptCount val="33"/>
                <c:pt idx="0">
                  <c:v>-16500</c:v>
                </c:pt>
                <c:pt idx="1">
                  <c:v>-16567.251518588695</c:v>
                </c:pt>
                <c:pt idx="2">
                  <c:v>-16766.421636210496</c:v>
                </c:pt>
                <c:pt idx="3">
                  <c:v>-17089.856356941091</c:v>
                </c:pt>
                <c:pt idx="4">
                  <c:v>-17525.126265847084</c:v>
                </c:pt>
                <c:pt idx="5">
                  <c:v>-18055.504184431393</c:v>
                </c:pt>
                <c:pt idx="6">
                  <c:v>-18660.607986722185</c:v>
                </c:pt>
                <c:pt idx="7">
                  <c:v>-19317.183872943551</c:v>
                </c:pt>
                <c:pt idx="8">
                  <c:v>-20000</c:v>
                </c:pt>
                <c:pt idx="9">
                  <c:v>-20682.816127056449</c:v>
                </c:pt>
                <c:pt idx="10">
                  <c:v>-21339.392013277815</c:v>
                </c:pt>
                <c:pt idx="11">
                  <c:v>-21944.495815568607</c:v>
                </c:pt>
                <c:pt idx="12">
                  <c:v>-22474.873734152916</c:v>
                </c:pt>
                <c:pt idx="13">
                  <c:v>-22910.143643058909</c:v>
                </c:pt>
                <c:pt idx="14">
                  <c:v>-23233.578363789504</c:v>
                </c:pt>
                <c:pt idx="15">
                  <c:v>-23432.748481411305</c:v>
                </c:pt>
                <c:pt idx="16">
                  <c:v>-23500</c:v>
                </c:pt>
                <c:pt idx="17">
                  <c:v>-23432.748481411305</c:v>
                </c:pt>
                <c:pt idx="18">
                  <c:v>-23233.5783637895</c:v>
                </c:pt>
                <c:pt idx="19">
                  <c:v>-22910.143643058906</c:v>
                </c:pt>
                <c:pt idx="20">
                  <c:v>-22474.873734152912</c:v>
                </c:pt>
                <c:pt idx="21">
                  <c:v>-21944.495815568604</c:v>
                </c:pt>
                <c:pt idx="22">
                  <c:v>-21339.392013277808</c:v>
                </c:pt>
                <c:pt idx="23">
                  <c:v>-20682.816127056441</c:v>
                </c:pt>
                <c:pt idx="24">
                  <c:v>-19999.999999999993</c:v>
                </c:pt>
                <c:pt idx="25">
                  <c:v>-19317.18387294354</c:v>
                </c:pt>
                <c:pt idx="26">
                  <c:v>-18660.607986722178</c:v>
                </c:pt>
                <c:pt idx="27">
                  <c:v>-18055.504184431382</c:v>
                </c:pt>
                <c:pt idx="28">
                  <c:v>-17525.126265847077</c:v>
                </c:pt>
                <c:pt idx="29">
                  <c:v>-17089.856356941084</c:v>
                </c:pt>
                <c:pt idx="30">
                  <c:v>-16766.421636210493</c:v>
                </c:pt>
                <c:pt idx="31">
                  <c:v>-16567.251518588691</c:v>
                </c:pt>
                <c:pt idx="32">
                  <c:v>-16500</c:v>
                </c:pt>
              </c:numCache>
            </c:numRef>
          </c:xVal>
          <c:yVal>
            <c:numRef>
              <c:f>Données!$AL$5:$AL$37</c:f>
              <c:numCache>
                <c:formatCode>General</c:formatCode>
                <c:ptCount val="33"/>
                <c:pt idx="0">
                  <c:v>10000</c:v>
                </c:pt>
                <c:pt idx="1">
                  <c:v>10682.816127056449</c:v>
                </c:pt>
                <c:pt idx="2">
                  <c:v>11339.392013277815</c:v>
                </c:pt>
                <c:pt idx="3">
                  <c:v>11944.495815568607</c:v>
                </c:pt>
                <c:pt idx="4">
                  <c:v>12474.873734152916</c:v>
                </c:pt>
                <c:pt idx="5">
                  <c:v>12910.143643058909</c:v>
                </c:pt>
                <c:pt idx="6">
                  <c:v>13233.578363789504</c:v>
                </c:pt>
                <c:pt idx="7">
                  <c:v>13432.748481411307</c:v>
                </c:pt>
                <c:pt idx="8">
                  <c:v>13500</c:v>
                </c:pt>
                <c:pt idx="9">
                  <c:v>13432.748481411307</c:v>
                </c:pt>
                <c:pt idx="10">
                  <c:v>13233.578363789504</c:v>
                </c:pt>
                <c:pt idx="11">
                  <c:v>12910.143643058909</c:v>
                </c:pt>
                <c:pt idx="12">
                  <c:v>12474.873734152916</c:v>
                </c:pt>
                <c:pt idx="13">
                  <c:v>11944.495815568607</c:v>
                </c:pt>
                <c:pt idx="14">
                  <c:v>11339.392013277813</c:v>
                </c:pt>
                <c:pt idx="15">
                  <c:v>10682.816127056447</c:v>
                </c:pt>
                <c:pt idx="16">
                  <c:v>9999.9999999999982</c:v>
                </c:pt>
                <c:pt idx="17">
                  <c:v>9317.1838729435476</c:v>
                </c:pt>
                <c:pt idx="18">
                  <c:v>8660.6079867221815</c:v>
                </c:pt>
                <c:pt idx="19">
                  <c:v>8055.5041844313882</c:v>
                </c:pt>
                <c:pt idx="20">
                  <c:v>7525.1262658470796</c:v>
                </c:pt>
                <c:pt idx="21">
                  <c:v>7089.8563569410881</c:v>
                </c:pt>
                <c:pt idx="22">
                  <c:v>6766.4216362104935</c:v>
                </c:pt>
                <c:pt idx="23">
                  <c:v>6567.2515185886914</c:v>
                </c:pt>
                <c:pt idx="24">
                  <c:v>6500</c:v>
                </c:pt>
                <c:pt idx="25">
                  <c:v>6567.251518588695</c:v>
                </c:pt>
                <c:pt idx="26">
                  <c:v>6766.4216362104999</c:v>
                </c:pt>
                <c:pt idx="27">
                  <c:v>7089.8563569410981</c:v>
                </c:pt>
                <c:pt idx="28">
                  <c:v>7525.1262658470914</c:v>
                </c:pt>
                <c:pt idx="29">
                  <c:v>8055.5041844314028</c:v>
                </c:pt>
                <c:pt idx="30">
                  <c:v>8660.6079867221979</c:v>
                </c:pt>
                <c:pt idx="31">
                  <c:v>9317.183872943564</c:v>
                </c:pt>
                <c:pt idx="32">
                  <c:v>10000.000000000015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9EA-4636-AFC6-2416BCC21C2D}"/>
            </c:ext>
          </c:extLst>
        </c:ser>
        <c:ser>
          <c:idx val="3"/>
          <c:order val="3"/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Données!$AM$5:$AM$37</c:f>
              <c:numCache>
                <c:formatCode>General</c:formatCode>
                <c:ptCount val="33"/>
                <c:pt idx="0">
                  <c:v>0</c:v>
                </c:pt>
                <c:pt idx="1">
                  <c:v>-96.073597983848231</c:v>
                </c:pt>
                <c:pt idx="2">
                  <c:v>-380.60233744356628</c:v>
                </c:pt>
                <c:pt idx="3">
                  <c:v>-842.65193848727358</c:v>
                </c:pt>
                <c:pt idx="4">
                  <c:v>-1464.466094067262</c:v>
                </c:pt>
                <c:pt idx="5">
                  <c:v>-2222.1488349019887</c:v>
                </c:pt>
                <c:pt idx="6">
                  <c:v>-3086.5828381745505</c:v>
                </c:pt>
                <c:pt idx="7">
                  <c:v>-4024.5483899193582</c:v>
                </c:pt>
                <c:pt idx="8">
                  <c:v>-5000</c:v>
                </c:pt>
                <c:pt idx="9">
                  <c:v>-5975.4516100806413</c:v>
                </c:pt>
                <c:pt idx="10">
                  <c:v>-6913.4171618254486</c:v>
                </c:pt>
                <c:pt idx="11">
                  <c:v>-7777.8511650980099</c:v>
                </c:pt>
                <c:pt idx="12">
                  <c:v>-8535.533905932738</c:v>
                </c:pt>
                <c:pt idx="13">
                  <c:v>-9157.3480615127264</c:v>
                </c:pt>
                <c:pt idx="14">
                  <c:v>-9619.3976625564355</c:v>
                </c:pt>
                <c:pt idx="15">
                  <c:v>-9903.9264020161536</c:v>
                </c:pt>
                <c:pt idx="16">
                  <c:v>-10000</c:v>
                </c:pt>
                <c:pt idx="17">
                  <c:v>-9903.92640201615</c:v>
                </c:pt>
                <c:pt idx="18">
                  <c:v>-9619.3976625564319</c:v>
                </c:pt>
                <c:pt idx="19">
                  <c:v>-9157.3480615127228</c:v>
                </c:pt>
                <c:pt idx="20">
                  <c:v>-8535.5339059327307</c:v>
                </c:pt>
                <c:pt idx="21">
                  <c:v>-7777.8511650980035</c:v>
                </c:pt>
                <c:pt idx="22">
                  <c:v>-6913.4171618254395</c:v>
                </c:pt>
                <c:pt idx="23">
                  <c:v>-5975.4516100806304</c:v>
                </c:pt>
                <c:pt idx="24">
                  <c:v>-4999.9999999999873</c:v>
                </c:pt>
                <c:pt idx="25">
                  <c:v>-4024.5483899193455</c:v>
                </c:pt>
                <c:pt idx="26">
                  <c:v>-3086.5828381745378</c:v>
                </c:pt>
                <c:pt idx="27">
                  <c:v>-2222.148834901976</c:v>
                </c:pt>
                <c:pt idx="28">
                  <c:v>-1464.4660940672507</c:v>
                </c:pt>
                <c:pt idx="29">
                  <c:v>-842.65193848726358</c:v>
                </c:pt>
                <c:pt idx="30">
                  <c:v>-380.60233744355901</c:v>
                </c:pt>
                <c:pt idx="31">
                  <c:v>-96.073597983843683</c:v>
                </c:pt>
                <c:pt idx="32">
                  <c:v>0</c:v>
                </c:pt>
              </c:numCache>
            </c:numRef>
          </c:xVal>
          <c:yVal>
            <c:numRef>
              <c:f>Données!$AN$5:$AN$37</c:f>
              <c:numCache>
                <c:formatCode>General</c:formatCode>
                <c:ptCount val="33"/>
                <c:pt idx="0">
                  <c:v>-15000</c:v>
                </c:pt>
                <c:pt idx="1">
                  <c:v>-14024.548389919359</c:v>
                </c:pt>
                <c:pt idx="2">
                  <c:v>-13086.58283817455</c:v>
                </c:pt>
                <c:pt idx="3">
                  <c:v>-12222.148834901989</c:v>
                </c:pt>
                <c:pt idx="4">
                  <c:v>-11464.466094067262</c:v>
                </c:pt>
                <c:pt idx="5">
                  <c:v>-10842.651938487274</c:v>
                </c:pt>
                <c:pt idx="6">
                  <c:v>-10380.602337443566</c:v>
                </c:pt>
                <c:pt idx="7">
                  <c:v>-10096.073597983848</c:v>
                </c:pt>
                <c:pt idx="8">
                  <c:v>-10000</c:v>
                </c:pt>
                <c:pt idx="9">
                  <c:v>-10096.073597983848</c:v>
                </c:pt>
                <c:pt idx="10">
                  <c:v>-10380.602337443566</c:v>
                </c:pt>
                <c:pt idx="11">
                  <c:v>-10842.651938487274</c:v>
                </c:pt>
                <c:pt idx="12">
                  <c:v>-11464.466094067262</c:v>
                </c:pt>
                <c:pt idx="13">
                  <c:v>-12222.148834901989</c:v>
                </c:pt>
                <c:pt idx="14">
                  <c:v>-13086.582838174552</c:v>
                </c:pt>
                <c:pt idx="15">
                  <c:v>-14024.54838991936</c:v>
                </c:pt>
                <c:pt idx="16">
                  <c:v>-15000.000000000004</c:v>
                </c:pt>
                <c:pt idx="17">
                  <c:v>-15975.451610080647</c:v>
                </c:pt>
                <c:pt idx="18">
                  <c:v>-16913.417161825455</c:v>
                </c:pt>
                <c:pt idx="19">
                  <c:v>-17777.851165098018</c:v>
                </c:pt>
                <c:pt idx="20">
                  <c:v>-18535.533905932745</c:v>
                </c:pt>
                <c:pt idx="21">
                  <c:v>-19157.34806151273</c:v>
                </c:pt>
                <c:pt idx="22">
                  <c:v>-19619.397662556439</c:v>
                </c:pt>
                <c:pt idx="23">
                  <c:v>-19903.926402016154</c:v>
                </c:pt>
                <c:pt idx="24">
                  <c:v>-20000</c:v>
                </c:pt>
                <c:pt idx="25">
                  <c:v>-19903.92640201615</c:v>
                </c:pt>
                <c:pt idx="26">
                  <c:v>-19619.397662556428</c:v>
                </c:pt>
                <c:pt idx="27">
                  <c:v>-19157.348061512719</c:v>
                </c:pt>
                <c:pt idx="28">
                  <c:v>-18535.533905932727</c:v>
                </c:pt>
                <c:pt idx="29">
                  <c:v>-17777.851165097996</c:v>
                </c:pt>
                <c:pt idx="30">
                  <c:v>-16913.417161825433</c:v>
                </c:pt>
                <c:pt idx="31">
                  <c:v>-15975.451610080621</c:v>
                </c:pt>
                <c:pt idx="32">
                  <c:v>-14999.999999999978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9EA-4636-AFC6-2416BCC21C2D}"/>
            </c:ext>
          </c:extLst>
        </c:ser>
        <c:ser>
          <c:idx val="4"/>
          <c:order val="4"/>
          <c:spPr>
            <a:ln w="12700" cap="rnd" cmpd="sng">
              <a:gradFill flip="none" rotWithShape="1">
                <a:gsLst>
                  <a:gs pos="0">
                    <a:schemeClr val="accent4">
                      <a:lumMod val="100000"/>
                    </a:schemeClr>
                  </a:gs>
                  <a:gs pos="78000">
                    <a:schemeClr val="accent5">
                      <a:lumMod val="75000"/>
                    </a:schemeClr>
                  </a:gs>
                  <a:gs pos="39000">
                    <a:srgbClr val="FF0000"/>
                  </a:gs>
                  <a:gs pos="100000">
                    <a:schemeClr val="accent6"/>
                  </a:gs>
                </a:gsLst>
                <a:path path="circle">
                  <a:fillToRect r="100000" b="100000"/>
                </a:path>
                <a:tileRect l="-100000" t="-100000"/>
              </a:gradFill>
              <a:prstDash val="dash"/>
              <a:round/>
            </a:ln>
            <a:effectLst/>
          </c:spPr>
          <c:marker>
            <c:symbol val="none"/>
          </c:marker>
          <c:xVal>
            <c:numRef>
              <c:f>Animation!$F$3:$F$13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Animation!$G$3:$G$13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9EA-4636-AFC6-2416BCC21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185520"/>
        <c:axId val="754180528"/>
      </c:scatterChart>
      <c:valAx>
        <c:axId val="754185520"/>
        <c:scaling>
          <c:orientation val="minMax"/>
          <c:max val="90000"/>
          <c:min val="-90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754180528"/>
        <c:crosses val="autoZero"/>
        <c:crossBetween val="midCat"/>
      </c:valAx>
      <c:valAx>
        <c:axId val="754180528"/>
        <c:scaling>
          <c:orientation val="minMax"/>
          <c:max val="90000"/>
          <c:min val="-90000"/>
        </c:scaling>
        <c:delete val="1"/>
        <c:axPos val="l"/>
        <c:majorGridlines>
          <c:spPr>
            <a:ln w="158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75418552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81642</xdr:colOff>
      <xdr:row>4</xdr:row>
      <xdr:rowOff>170710</xdr:rowOff>
    </xdr:from>
    <xdr:to>
      <xdr:col>27</xdr:col>
      <xdr:colOff>8518071</xdr:colOff>
      <xdr:row>47</xdr:row>
      <xdr:rowOff>46760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23</xdr:row>
          <xdr:rowOff>133350</xdr:rowOff>
        </xdr:from>
        <xdr:to>
          <xdr:col>15</xdr:col>
          <xdr:colOff>1038225</xdr:colOff>
          <xdr:row>27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CA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la simulation de gravité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811696</xdr:colOff>
      <xdr:row>1</xdr:row>
      <xdr:rowOff>182217</xdr:rowOff>
    </xdr:from>
    <xdr:to>
      <xdr:col>17</xdr:col>
      <xdr:colOff>190498</xdr:colOff>
      <xdr:row>23</xdr:row>
      <xdr:rowOff>157370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769F1-42E4-441B-8778-56879C771846}">
  <sheetPr codeName="Feuil1"/>
  <dimension ref="A1:BJ1004"/>
  <sheetViews>
    <sheetView showGridLines="0" topLeftCell="B1" zoomScale="70" zoomScaleNormal="70" workbookViewId="0">
      <selection activeCell="BL33" sqref="BL33"/>
    </sheetView>
  </sheetViews>
  <sheetFormatPr baseColWidth="10" defaultRowHeight="15" x14ac:dyDescent="0.25"/>
  <cols>
    <col min="1" max="1" width="11.42578125" hidden="1" customWidth="1"/>
    <col min="5" max="5" width="3.28515625" customWidth="1"/>
    <col min="6" max="6" width="3.85546875" customWidth="1"/>
    <col min="7" max="7" width="5.140625" customWidth="1"/>
    <col min="8" max="8" width="6.85546875" customWidth="1"/>
    <col min="9" max="9" width="5" customWidth="1"/>
    <col min="10" max="10" width="5.5703125" customWidth="1"/>
    <col min="11" max="11" width="5.85546875" customWidth="1"/>
    <col min="12" max="12" width="3.7109375" customWidth="1"/>
    <col min="13" max="13" width="4.42578125" customWidth="1"/>
    <col min="14" max="14" width="3.5703125" customWidth="1"/>
    <col min="15" max="15" width="4.7109375" customWidth="1"/>
    <col min="16" max="16" width="5.28515625" customWidth="1"/>
    <col min="20" max="27" width="6.140625" customWidth="1"/>
    <col min="28" max="28" width="128.140625" customWidth="1"/>
    <col min="29" max="30" width="16" hidden="1" customWidth="1"/>
    <col min="31" max="31" width="4.28515625" hidden="1" customWidth="1"/>
    <col min="32" max="32" width="16" hidden="1" customWidth="1"/>
    <col min="33" max="33" width="14.85546875" hidden="1" customWidth="1"/>
    <col min="34" max="34" width="3.140625" hidden="1" customWidth="1"/>
    <col min="35" max="36" width="14.85546875" hidden="1" customWidth="1"/>
    <col min="37" max="37" width="15.85546875" hidden="1" customWidth="1"/>
    <col min="38" max="38" width="14.85546875" hidden="1" customWidth="1"/>
    <col min="39" max="40" width="15.85546875" hidden="1" customWidth="1"/>
    <col min="41" max="41" width="11.42578125" hidden="1" customWidth="1"/>
    <col min="42" max="42" width="11.42578125" style="1" hidden="1" customWidth="1"/>
    <col min="43" max="43" width="16.7109375" style="1" hidden="1" customWidth="1"/>
    <col min="44" max="44" width="15.85546875" style="1" hidden="1" customWidth="1"/>
    <col min="45" max="45" width="11.42578125" hidden="1" customWidth="1"/>
    <col min="46" max="47" width="15.85546875" hidden="1" customWidth="1"/>
    <col min="48" max="48" width="6.28515625" hidden="1" customWidth="1"/>
    <col min="49" max="49" width="5.5703125" hidden="1" customWidth="1"/>
    <col min="50" max="50" width="18.140625" hidden="1" customWidth="1"/>
    <col min="51" max="51" width="17.7109375" hidden="1" customWidth="1"/>
    <col min="52" max="52" width="5.7109375" hidden="1" customWidth="1"/>
    <col min="53" max="53" width="3.28515625" hidden="1" customWidth="1"/>
    <col min="54" max="54" width="18.140625" hidden="1" customWidth="1"/>
    <col min="55" max="55" width="17.7109375" hidden="1" customWidth="1"/>
    <col min="56" max="56" width="4.7109375" hidden="1" customWidth="1"/>
    <col min="57" max="57" width="4.5703125" hidden="1" customWidth="1"/>
    <col min="58" max="58" width="17" hidden="1" customWidth="1"/>
    <col min="59" max="59" width="16.5703125" hidden="1" customWidth="1"/>
    <col min="60" max="60" width="5.85546875" hidden="1" customWidth="1"/>
    <col min="61" max="61" width="23.42578125" hidden="1" customWidth="1"/>
    <col min="62" max="62" width="15.85546875" hidden="1" customWidth="1"/>
  </cols>
  <sheetData>
    <row r="1" spans="1:62" ht="15.75" thickBot="1" x14ac:dyDescent="0.3">
      <c r="AP1"/>
      <c r="AQ1"/>
      <c r="AR1"/>
    </row>
    <row r="2" spans="1:62" ht="15.75" customHeight="1" x14ac:dyDescent="0.25">
      <c r="A2" s="4"/>
      <c r="E2" s="138" t="s">
        <v>3</v>
      </c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40"/>
      <c r="AB2" s="192" t="s">
        <v>80</v>
      </c>
      <c r="AP2"/>
      <c r="AQ2"/>
      <c r="AR2"/>
    </row>
    <row r="3" spans="1:62" ht="15.75" customHeight="1" thickBot="1" x14ac:dyDescent="0.3">
      <c r="A3">
        <v>1000</v>
      </c>
      <c r="E3" s="141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3"/>
      <c r="AB3" s="193"/>
      <c r="AI3" s="187" t="s">
        <v>42</v>
      </c>
      <c r="AJ3" s="187"/>
      <c r="AK3" s="187" t="s">
        <v>43</v>
      </c>
      <c r="AL3" s="187"/>
      <c r="AM3" s="187" t="s">
        <v>44</v>
      </c>
      <c r="AN3" s="187"/>
      <c r="AP3" s="187" t="s">
        <v>45</v>
      </c>
      <c r="AQ3" s="187"/>
      <c r="AR3" s="187"/>
      <c r="AX3" s="8" t="s">
        <v>49</v>
      </c>
      <c r="AY3" s="8"/>
      <c r="AZ3" s="9"/>
      <c r="BA3" s="9"/>
      <c r="BB3" s="8" t="s">
        <v>51</v>
      </c>
      <c r="BC3" s="8"/>
      <c r="BD3" s="9"/>
      <c r="BE3" s="9"/>
      <c r="BF3" s="8" t="s">
        <v>52</v>
      </c>
      <c r="BG3" s="8"/>
      <c r="BI3" s="8" t="s">
        <v>53</v>
      </c>
      <c r="BJ3" s="12"/>
    </row>
    <row r="4" spans="1:62" x14ac:dyDescent="0.25">
      <c r="AG4" s="13"/>
      <c r="AH4" s="1"/>
      <c r="AI4" s="1" t="s">
        <v>1</v>
      </c>
      <c r="AJ4" s="1" t="s">
        <v>2</v>
      </c>
      <c r="AK4" s="1" t="s">
        <v>1</v>
      </c>
      <c r="AL4" s="1" t="s">
        <v>2</v>
      </c>
      <c r="AM4" s="1" t="s">
        <v>1</v>
      </c>
      <c r="AN4" s="1" t="s">
        <v>2</v>
      </c>
      <c r="AP4" s="1" t="s">
        <v>0</v>
      </c>
      <c r="AQ4" s="1" t="s">
        <v>1</v>
      </c>
      <c r="AR4" s="1" t="s">
        <v>2</v>
      </c>
      <c r="AT4" t="s">
        <v>46</v>
      </c>
      <c r="AU4" s="1" t="s">
        <v>47</v>
      </c>
      <c r="AX4" s="2" t="s">
        <v>48</v>
      </c>
      <c r="AY4" s="2" t="s">
        <v>50</v>
      </c>
      <c r="AZ4" s="2"/>
      <c r="BB4" s="2" t="s">
        <v>48</v>
      </c>
      <c r="BC4" s="2" t="s">
        <v>50</v>
      </c>
      <c r="BD4" s="2"/>
      <c r="BF4" s="2" t="s">
        <v>48</v>
      </c>
      <c r="BG4" s="2" t="s">
        <v>50</v>
      </c>
      <c r="BI4" t="s">
        <v>1</v>
      </c>
      <c r="BJ4" t="s">
        <v>2</v>
      </c>
    </row>
    <row r="5" spans="1:62" x14ac:dyDescent="0.25">
      <c r="AG5" s="13"/>
      <c r="AH5" s="1"/>
      <c r="AI5" s="1">
        <f t="shared" ref="AI5:AI37" si="0">COS(AG7)*$R$24+$R$23</f>
        <v>25000</v>
      </c>
      <c r="AJ5" s="1">
        <f t="shared" ref="AJ5:AJ37" si="1">SIN(AG7)*$R$24+$S$23</f>
        <v>7500</v>
      </c>
      <c r="AK5" s="1">
        <f t="shared" ref="AK5:AK37" si="2">COS(AG7)*$R$33+$R$32</f>
        <v>-16500</v>
      </c>
      <c r="AL5" s="1">
        <f t="shared" ref="AL5:AL37" si="3">SIN(AG7)*$R$33+$S$32</f>
        <v>10000</v>
      </c>
      <c r="AM5" s="1">
        <f t="shared" ref="AM5:AM37" si="4">COS(AG7)*$R$42+$R$41</f>
        <v>0</v>
      </c>
      <c r="AN5" s="1">
        <f t="shared" ref="AN5:AN37" si="5">SIN(AG7)*$R$42+$S$41</f>
        <v>-15000</v>
      </c>
      <c r="AP5" s="1">
        <v>0</v>
      </c>
      <c r="AQ5" s="7">
        <f>R14</f>
        <v>0</v>
      </c>
      <c r="AR5" s="7">
        <f>S14</f>
        <v>0</v>
      </c>
      <c r="AS5" s="7"/>
      <c r="AT5" s="7">
        <f>R15</f>
        <v>0</v>
      </c>
      <c r="AU5" s="7">
        <f>S15</f>
        <v>0</v>
      </c>
      <c r="AV5" s="7"/>
      <c r="AX5" s="7">
        <f>R16</f>
        <v>0</v>
      </c>
      <c r="AY5" s="7">
        <f>S16</f>
        <v>0</v>
      </c>
      <c r="BB5" s="7">
        <f>R16</f>
        <v>0</v>
      </c>
      <c r="BC5" s="7">
        <f>S16</f>
        <v>0</v>
      </c>
      <c r="BF5" s="7">
        <f>R16</f>
        <v>0</v>
      </c>
      <c r="BG5" s="7">
        <f>S16</f>
        <v>0</v>
      </c>
      <c r="BI5" s="2">
        <f>BF5+BB5+AX5</f>
        <v>0</v>
      </c>
      <c r="BJ5">
        <f>BG5+BC5+AY5</f>
        <v>0</v>
      </c>
    </row>
    <row r="6" spans="1:62" ht="17.25" customHeight="1" x14ac:dyDescent="0.3">
      <c r="E6" s="75" t="s">
        <v>4</v>
      </c>
      <c r="F6" s="65"/>
      <c r="G6" s="65"/>
      <c r="H6" s="65"/>
      <c r="I6" s="65"/>
      <c r="J6" s="65"/>
      <c r="K6" s="66"/>
      <c r="L6" s="66"/>
      <c r="M6" s="66"/>
      <c r="N6" s="66"/>
      <c r="O6" s="66"/>
      <c r="P6" s="66"/>
      <c r="Q6" s="66"/>
      <c r="R6" s="66"/>
      <c r="S6" s="66"/>
      <c r="T6" s="67"/>
      <c r="AC6" s="1" t="s">
        <v>39</v>
      </c>
      <c r="AD6" s="1" t="s">
        <v>40</v>
      </c>
      <c r="AE6" s="1" t="s">
        <v>41</v>
      </c>
      <c r="AF6" s="187" t="s">
        <v>0</v>
      </c>
      <c r="AG6" s="187"/>
      <c r="AH6" s="1"/>
      <c r="AI6" s="1">
        <f t="shared" si="0"/>
        <v>24903.92640201615</v>
      </c>
      <c r="AJ6" s="1">
        <f t="shared" si="1"/>
        <v>8475.4516100806413</v>
      </c>
      <c r="AK6" s="1">
        <f t="shared" si="2"/>
        <v>-16567.251518588695</v>
      </c>
      <c r="AL6" s="1">
        <f t="shared" si="3"/>
        <v>10682.816127056449</v>
      </c>
      <c r="AM6" s="1">
        <f t="shared" si="4"/>
        <v>-96.073597983848231</v>
      </c>
      <c r="AN6" s="1">
        <f t="shared" si="5"/>
        <v>-14024.548389919359</v>
      </c>
      <c r="AP6" s="1">
        <v>1</v>
      </c>
      <c r="AQ6" s="7">
        <f t="shared" ref="AQ6:AQ69" si="6">AQ5+(AT5*$R$7)+((1/2)*(BI5)*$R$7^2)</f>
        <v>0</v>
      </c>
      <c r="AR6" s="7">
        <f t="shared" ref="AR6:AR69" si="7">AR5+(AU5*$R$7)+((1/2)*(BJ5)*$R$7^2)</f>
        <v>0</v>
      </c>
      <c r="AS6" s="7"/>
      <c r="AT6" s="7">
        <f t="shared" ref="AT6:AT69" si="8">AT5+(BI5)*$R$7</f>
        <v>0</v>
      </c>
      <c r="AU6" s="7">
        <f t="shared" ref="AU6:AU69" si="9">AU5+(BJ5)*$R$7</f>
        <v>0</v>
      </c>
      <c r="AV6" s="7"/>
      <c r="AX6" s="7">
        <f t="shared" ref="AX6:AX69" si="10">(($R$23-AQ6)/(($R$23-AQ6)^2+($S$23-AR6)^2+$R$28^2)^(3/2))*$R$27</f>
        <v>798.22179539145645</v>
      </c>
      <c r="AY6" s="7">
        <f t="shared" ref="AY6:AY69" si="11">(($S$23-AR6)/(($R$23-AQ6)^2+($S$23-AR6)^2+$R$28^2)^(3/2))*$R$27</f>
        <v>299.33317327179617</v>
      </c>
      <c r="BB6" s="7">
        <f t="shared" ref="BB6:BB69" si="12">(($R$32-AQ6)/(($R$32-AQ6)^2+($S$32-AR6)^2+$R$37^2)^(3/2))*$R$36</f>
        <v>-279.23137914452502</v>
      </c>
      <c r="BC6" s="7">
        <f t="shared" ref="BC6:BC69" si="13">(($S$32-AR6)/(($R$32-AQ6)^2+($S$32-AR6)^2+$R$37^2)^(3/2))*$R$36</f>
        <v>139.61568957226251</v>
      </c>
      <c r="BF6" s="7">
        <f t="shared" ref="BF6:BF69" si="14">(($R$41-AQ6)/(($R$41-AQ6)^2+($S$41-AR6)^2+$R$46^2)^(3/2))*$R$45</f>
        <v>-399.8218829435051</v>
      </c>
      <c r="BG6" s="7">
        <f t="shared" ref="BG6:BG69" si="15">(($S$41-AR6)/(($R$41-AQ6)^2+($S$41-AR6)^2+$R$46^2)^(3/2))*$R$45</f>
        <v>-1199.4656488305152</v>
      </c>
      <c r="BI6" s="10">
        <f t="shared" ref="BI6:BI69" si="16">BF6+BB6+AX6</f>
        <v>119.16853330342633</v>
      </c>
      <c r="BJ6">
        <f t="shared" ref="BJ6:BJ69" si="17">BG6+BC6+AY6</f>
        <v>-760.51678598645663</v>
      </c>
    </row>
    <row r="7" spans="1:62" ht="17.25" customHeight="1" x14ac:dyDescent="0.25">
      <c r="F7" s="76" t="s">
        <v>5</v>
      </c>
      <c r="G7" s="14"/>
      <c r="H7" s="14"/>
      <c r="I7" s="15" t="s">
        <v>8</v>
      </c>
      <c r="J7" s="14"/>
      <c r="K7" s="14"/>
      <c r="L7" s="14"/>
      <c r="M7" s="14"/>
      <c r="N7" s="14"/>
      <c r="O7" s="14"/>
      <c r="P7" s="14"/>
      <c r="Q7" s="14"/>
      <c r="R7" s="152">
        <v>0.5</v>
      </c>
      <c r="S7" s="153"/>
      <c r="T7" s="159" t="s">
        <v>6</v>
      </c>
      <c r="U7" s="160"/>
      <c r="AC7" s="1">
        <v>0</v>
      </c>
      <c r="AD7" s="1">
        <f>(AE7-AC7)/32</f>
        <v>0.19634954084936207</v>
      </c>
      <c r="AE7" s="1">
        <f>2*PI()</f>
        <v>6.2831853071795862</v>
      </c>
      <c r="AF7" s="1">
        <v>0</v>
      </c>
      <c r="AG7" s="1">
        <v>0</v>
      </c>
      <c r="AH7" s="1"/>
      <c r="AI7" s="1">
        <f t="shared" si="0"/>
        <v>24619.397662556432</v>
      </c>
      <c r="AJ7" s="1">
        <f t="shared" si="1"/>
        <v>9413.4171618254495</v>
      </c>
      <c r="AK7" s="1">
        <f t="shared" si="2"/>
        <v>-16766.421636210496</v>
      </c>
      <c r="AL7" s="1">
        <f t="shared" si="3"/>
        <v>11339.392013277815</v>
      </c>
      <c r="AM7" s="1">
        <f t="shared" si="4"/>
        <v>-380.60233744356628</v>
      </c>
      <c r="AN7" s="1">
        <f t="shared" si="5"/>
        <v>-13086.58283817455</v>
      </c>
      <c r="AP7" s="1">
        <v>2</v>
      </c>
      <c r="AQ7" s="7">
        <f t="shared" si="6"/>
        <v>14.896066662928291</v>
      </c>
      <c r="AR7" s="7">
        <f t="shared" si="7"/>
        <v>-95.064598248307078</v>
      </c>
      <c r="AS7" s="7"/>
      <c r="AT7" s="7">
        <f t="shared" si="8"/>
        <v>59.584266651713165</v>
      </c>
      <c r="AU7" s="7">
        <f t="shared" si="9"/>
        <v>-380.25839299322831</v>
      </c>
      <c r="AV7" s="7"/>
      <c r="AX7" s="7">
        <f t="shared" si="10"/>
        <v>795.8252382422603</v>
      </c>
      <c r="AY7" s="7">
        <f t="shared" si="11"/>
        <v>302.44246482420186</v>
      </c>
      <c r="BB7" s="7">
        <f t="shared" si="12"/>
        <v>-277.53659386448641</v>
      </c>
      <c r="BC7" s="7">
        <f t="shared" si="13"/>
        <v>139.983232194067</v>
      </c>
      <c r="BF7" s="7">
        <f t="shared" si="14"/>
        <v>-405.68747623926379</v>
      </c>
      <c r="BG7" s="7">
        <f t="shared" si="15"/>
        <v>-1205.7569182424947</v>
      </c>
      <c r="BI7" s="10">
        <f t="shared" si="16"/>
        <v>112.60116813851016</v>
      </c>
      <c r="BJ7">
        <f t="shared" si="17"/>
        <v>-763.33122122422606</v>
      </c>
    </row>
    <row r="8" spans="1:62" ht="17.25" customHeight="1" x14ac:dyDescent="0.25">
      <c r="F8" s="20"/>
      <c r="G8" s="76" t="s">
        <v>36</v>
      </c>
      <c r="H8" s="14"/>
      <c r="I8" s="14"/>
      <c r="J8" s="14"/>
      <c r="K8" s="17" t="s">
        <v>37</v>
      </c>
      <c r="L8" s="14"/>
      <c r="M8" s="14"/>
      <c r="N8" s="14"/>
      <c r="O8" s="14"/>
      <c r="P8" s="14"/>
      <c r="Q8" s="14"/>
      <c r="R8" s="150">
        <v>0</v>
      </c>
      <c r="S8" s="151"/>
      <c r="T8" s="16" t="s">
        <v>33</v>
      </c>
      <c r="U8" s="14"/>
      <c r="V8" s="56"/>
      <c r="AF8" s="1">
        <v>1</v>
      </c>
      <c r="AG8" s="1">
        <f t="shared" ref="AG8:AG39" si="18">AG7+$AD$7</f>
        <v>0.19634954084936207</v>
      </c>
      <c r="AH8" s="1"/>
      <c r="AI8" s="1">
        <f t="shared" si="0"/>
        <v>24157.348061512726</v>
      </c>
      <c r="AJ8" s="1">
        <f t="shared" si="1"/>
        <v>10277.851165098011</v>
      </c>
      <c r="AK8" s="1">
        <f t="shared" si="2"/>
        <v>-17089.856356941091</v>
      </c>
      <c r="AL8" s="1">
        <f t="shared" si="3"/>
        <v>11944.495815568607</v>
      </c>
      <c r="AM8" s="1">
        <f t="shared" si="4"/>
        <v>-842.65193848727358</v>
      </c>
      <c r="AN8" s="1">
        <f t="shared" si="5"/>
        <v>-12222.148834901989</v>
      </c>
      <c r="AP8" s="1">
        <v>3</v>
      </c>
      <c r="AQ8" s="7">
        <f>AQ7+(AT7*$R$7)+((1/2)*(BI7)*$R$7^2)</f>
        <v>58.763346006098644</v>
      </c>
      <c r="AR8" s="7">
        <f t="shared" si="7"/>
        <v>-380.61019739794949</v>
      </c>
      <c r="AS8" s="7"/>
      <c r="AT8" s="7">
        <f t="shared" si="8"/>
        <v>115.88485072096825</v>
      </c>
      <c r="AU8" s="7">
        <f t="shared" si="9"/>
        <v>-761.92400360534134</v>
      </c>
      <c r="AV8" s="7"/>
      <c r="AX8" s="7">
        <f t="shared" si="10"/>
        <v>788.40883777649003</v>
      </c>
      <c r="AY8" s="7">
        <f t="shared" si="11"/>
        <v>311.57258872687225</v>
      </c>
      <c r="BB8" s="7">
        <f t="shared" si="12"/>
        <v>-272.48950361186826</v>
      </c>
      <c r="BC8" s="7">
        <f t="shared" si="13"/>
        <v>141.01603728429595</v>
      </c>
      <c r="BF8" s="7">
        <f t="shared" si="14"/>
        <v>-423.77303583460485</v>
      </c>
      <c r="BG8" s="7">
        <f t="shared" si="15"/>
        <v>-1224.6675274085189</v>
      </c>
      <c r="BI8" s="10">
        <f t="shared" si="16"/>
        <v>92.146298330016975</v>
      </c>
      <c r="BJ8">
        <f t="shared" si="17"/>
        <v>-772.07890139735082</v>
      </c>
    </row>
    <row r="9" spans="1:62" ht="17.25" customHeight="1" x14ac:dyDescent="0.25">
      <c r="F9" s="20"/>
      <c r="G9" s="20"/>
      <c r="H9" s="76" t="s">
        <v>7</v>
      </c>
      <c r="I9" s="60"/>
      <c r="J9" s="60"/>
      <c r="K9" s="60"/>
      <c r="L9" s="60"/>
      <c r="M9" s="60"/>
      <c r="N9" s="61" t="s">
        <v>9</v>
      </c>
      <c r="O9" s="60"/>
      <c r="P9" s="60"/>
      <c r="Q9" s="60"/>
      <c r="R9" s="148">
        <v>2</v>
      </c>
      <c r="S9" s="149"/>
      <c r="T9" s="158" t="s">
        <v>35</v>
      </c>
      <c r="U9" s="158"/>
      <c r="V9" s="60"/>
      <c r="W9" s="62"/>
      <c r="AF9" s="1">
        <v>2</v>
      </c>
      <c r="AG9" s="1">
        <f t="shared" si="18"/>
        <v>0.39269908169872414</v>
      </c>
      <c r="AH9" s="1"/>
      <c r="AI9" s="1">
        <f t="shared" si="0"/>
        <v>23535.533905932738</v>
      </c>
      <c r="AJ9" s="1">
        <f t="shared" si="1"/>
        <v>11035.533905932738</v>
      </c>
      <c r="AK9" s="1">
        <f t="shared" si="2"/>
        <v>-17525.126265847084</v>
      </c>
      <c r="AL9" s="1">
        <f t="shared" si="3"/>
        <v>12474.873734152916</v>
      </c>
      <c r="AM9" s="1">
        <f t="shared" si="4"/>
        <v>-1464.466094067262</v>
      </c>
      <c r="AN9" s="1">
        <f t="shared" si="5"/>
        <v>-11464.466094067262</v>
      </c>
      <c r="AP9" s="1">
        <v>4</v>
      </c>
      <c r="AQ9" s="7">
        <f t="shared" si="6"/>
        <v>128.22405865783489</v>
      </c>
      <c r="AR9" s="7">
        <f t="shared" si="7"/>
        <v>-858.08206187528901</v>
      </c>
      <c r="AS9" s="7"/>
      <c r="AT9" s="7">
        <f t="shared" si="8"/>
        <v>161.95799988597673</v>
      </c>
      <c r="AU9" s="7">
        <f t="shared" si="9"/>
        <v>-1147.9634543040168</v>
      </c>
      <c r="AV9" s="7"/>
      <c r="AX9" s="7">
        <f t="shared" si="10"/>
        <v>775.27663424571824</v>
      </c>
      <c r="AY9" s="7">
        <f t="shared" si="11"/>
        <v>326.0818634835378</v>
      </c>
      <c r="BB9" s="7">
        <f t="shared" si="12"/>
        <v>-264.21336898309431</v>
      </c>
      <c r="BC9" s="7">
        <f t="shared" si="13"/>
        <v>142.52874142808358</v>
      </c>
      <c r="BF9" s="7">
        <f t="shared" si="14"/>
        <v>-455.56980044799212</v>
      </c>
      <c r="BG9" s="7">
        <f t="shared" si="15"/>
        <v>-1256.3083553548024</v>
      </c>
      <c r="BH9" s="7"/>
      <c r="BI9" s="10">
        <f t="shared" si="16"/>
        <v>55.493464814631807</v>
      </c>
      <c r="BJ9">
        <f t="shared" si="17"/>
        <v>-787.69775044318112</v>
      </c>
    </row>
    <row r="10" spans="1:62" ht="8.25" customHeight="1" x14ac:dyDescent="0.25">
      <c r="H10" s="1"/>
      <c r="I10" s="1"/>
      <c r="J10" s="1"/>
      <c r="K10" s="5"/>
      <c r="AF10" s="1">
        <v>3</v>
      </c>
      <c r="AG10" s="1">
        <f t="shared" si="18"/>
        <v>0.58904862254808621</v>
      </c>
      <c r="AH10" s="1"/>
      <c r="AI10" s="1">
        <f t="shared" si="0"/>
        <v>22777.851165098011</v>
      </c>
      <c r="AJ10" s="1">
        <f t="shared" si="1"/>
        <v>11657.348061512726</v>
      </c>
      <c r="AK10" s="1">
        <f t="shared" si="2"/>
        <v>-18055.504184431393</v>
      </c>
      <c r="AL10" s="1">
        <f t="shared" si="3"/>
        <v>12910.143643058909</v>
      </c>
      <c r="AM10" s="1">
        <f t="shared" si="4"/>
        <v>-2222.1488349019887</v>
      </c>
      <c r="AN10" s="1">
        <f t="shared" si="5"/>
        <v>-10842.651938487274</v>
      </c>
      <c r="AP10" s="1">
        <v>5</v>
      </c>
      <c r="AQ10" s="7">
        <f t="shared" si="6"/>
        <v>216.13974170265223</v>
      </c>
      <c r="AR10" s="7">
        <f t="shared" si="7"/>
        <v>-1530.5260078326951</v>
      </c>
      <c r="AS10" s="7"/>
      <c r="AT10" s="7">
        <f t="shared" si="8"/>
        <v>189.70473229329264</v>
      </c>
      <c r="AU10" s="7">
        <f t="shared" si="9"/>
        <v>-1541.8123295256073</v>
      </c>
      <c r="AV10" s="7"/>
      <c r="AX10" s="7">
        <f t="shared" si="10"/>
        <v>755.32322118471393</v>
      </c>
      <c r="AY10" s="7">
        <f t="shared" si="11"/>
        <v>344.77427075273721</v>
      </c>
      <c r="BB10" s="7">
        <f t="shared" si="12"/>
        <v>-252.93026836046505</v>
      </c>
      <c r="BC10" s="7">
        <f t="shared" si="13"/>
        <v>144.26191522026042</v>
      </c>
      <c r="BF10" s="7">
        <f t="shared" si="14"/>
        <v>-503.70980946705168</v>
      </c>
      <c r="BG10" s="7">
        <f t="shared" si="15"/>
        <v>-1300.7140364689189</v>
      </c>
      <c r="BH10" s="7"/>
      <c r="BI10" s="10">
        <f t="shared" si="16"/>
        <v>-1.3168566428028043</v>
      </c>
      <c r="BJ10">
        <f t="shared" si="17"/>
        <v>-811.67785049592135</v>
      </c>
    </row>
    <row r="11" spans="1:62" ht="6.75" customHeight="1" x14ac:dyDescent="0.25">
      <c r="H11" s="1"/>
      <c r="I11" s="1"/>
      <c r="J11" s="1"/>
      <c r="K11" s="5"/>
      <c r="AF11" s="1">
        <v>4</v>
      </c>
      <c r="AG11" s="1">
        <f t="shared" si="18"/>
        <v>0.78539816339744828</v>
      </c>
      <c r="AH11" s="1"/>
      <c r="AI11" s="1">
        <f t="shared" si="0"/>
        <v>21913.417161825448</v>
      </c>
      <c r="AJ11" s="1">
        <f t="shared" si="1"/>
        <v>12119.397662556434</v>
      </c>
      <c r="AK11" s="1">
        <f t="shared" si="2"/>
        <v>-18660.607986722185</v>
      </c>
      <c r="AL11" s="1">
        <f t="shared" si="3"/>
        <v>13233.578363789504</v>
      </c>
      <c r="AM11" s="1">
        <f t="shared" si="4"/>
        <v>-3086.5828381745505</v>
      </c>
      <c r="AN11" s="1">
        <f t="shared" si="5"/>
        <v>-10380.602337443566</v>
      </c>
      <c r="AP11" s="1">
        <v>6</v>
      </c>
      <c r="AQ11" s="7">
        <f t="shared" si="6"/>
        <v>310.8275007689482</v>
      </c>
      <c r="AR11" s="7">
        <f t="shared" si="7"/>
        <v>-2402.891903907489</v>
      </c>
      <c r="AS11" s="7"/>
      <c r="AT11" s="7">
        <f t="shared" si="8"/>
        <v>189.04630397189123</v>
      </c>
      <c r="AU11" s="7">
        <f t="shared" si="9"/>
        <v>-1947.6512547735679</v>
      </c>
      <c r="AV11" s="7"/>
      <c r="AX11" s="7">
        <f t="shared" si="10"/>
        <v>727.24210333376709</v>
      </c>
      <c r="AY11" s="7">
        <f t="shared" si="11"/>
        <v>365.77463768809372</v>
      </c>
      <c r="BB11" s="7">
        <f t="shared" si="12"/>
        <v>-238.95985187350047</v>
      </c>
      <c r="BC11" s="7">
        <f t="shared" si="13"/>
        <v>145.92183464945313</v>
      </c>
      <c r="BF11" s="7">
        <f t="shared" si="14"/>
        <v>-572.24645727398956</v>
      </c>
      <c r="BG11" s="7">
        <f t="shared" si="15"/>
        <v>-1357.3497687211077</v>
      </c>
      <c r="BH11" s="7"/>
      <c r="BI11" s="10">
        <f t="shared" si="16"/>
        <v>-83.96420581372297</v>
      </c>
      <c r="BJ11">
        <f t="shared" si="17"/>
        <v>-845.65329638356093</v>
      </c>
    </row>
    <row r="12" spans="1:62" ht="17.25" customHeight="1" x14ac:dyDescent="0.3">
      <c r="E12" s="72" t="s">
        <v>10</v>
      </c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4"/>
      <c r="AF12" s="1">
        <v>5</v>
      </c>
      <c r="AG12" s="1">
        <f t="shared" si="18"/>
        <v>0.98174770424681035</v>
      </c>
      <c r="AH12" s="1"/>
      <c r="AI12" s="1">
        <f t="shared" si="0"/>
        <v>20975.451610080643</v>
      </c>
      <c r="AJ12" s="1">
        <f t="shared" si="1"/>
        <v>12403.926402016152</v>
      </c>
      <c r="AK12" s="1">
        <f t="shared" si="2"/>
        <v>-19317.183872943551</v>
      </c>
      <c r="AL12" s="1">
        <f t="shared" si="3"/>
        <v>13432.748481411307</v>
      </c>
      <c r="AM12" s="1">
        <f t="shared" si="4"/>
        <v>-4024.5483899193582</v>
      </c>
      <c r="AN12" s="1">
        <f t="shared" si="5"/>
        <v>-10096.073597983848</v>
      </c>
      <c r="AP12" s="1">
        <v>7</v>
      </c>
      <c r="AQ12" s="7">
        <f t="shared" si="6"/>
        <v>394.85512702817846</v>
      </c>
      <c r="AR12" s="7">
        <f t="shared" si="7"/>
        <v>-3482.4241933422177</v>
      </c>
      <c r="AS12" s="7"/>
      <c r="AT12" s="7">
        <f t="shared" si="8"/>
        <v>147.06420106502975</v>
      </c>
      <c r="AU12" s="7">
        <f t="shared" si="9"/>
        <v>-2370.4779029653482</v>
      </c>
      <c r="AV12" s="7"/>
      <c r="AX12" s="7">
        <f t="shared" si="10"/>
        <v>689.86190376956449</v>
      </c>
      <c r="AY12" s="7">
        <f t="shared" si="11"/>
        <v>386.4473387528472</v>
      </c>
      <c r="BB12" s="7">
        <f t="shared" si="12"/>
        <v>-222.70655944156962</v>
      </c>
      <c r="BC12" s="7">
        <f t="shared" si="13"/>
        <v>147.22459592526414</v>
      </c>
      <c r="BF12" s="7">
        <f t="shared" si="14"/>
        <v>-667.00016154064633</v>
      </c>
      <c r="BG12" s="7">
        <f t="shared" si="15"/>
        <v>-1423.9909585541043</v>
      </c>
      <c r="BH12" s="7"/>
      <c r="BI12" s="10">
        <f t="shared" si="16"/>
        <v>-199.84481721265149</v>
      </c>
      <c r="BJ12">
        <f t="shared" si="17"/>
        <v>-890.31902387599303</v>
      </c>
    </row>
    <row r="13" spans="1:62" ht="17.25" customHeight="1" x14ac:dyDescent="0.25">
      <c r="F13" s="77" t="s">
        <v>11</v>
      </c>
      <c r="G13" s="51"/>
      <c r="H13" s="53" t="s">
        <v>26</v>
      </c>
      <c r="I13" s="51"/>
      <c r="J13" s="51"/>
      <c r="K13" s="51"/>
      <c r="L13" s="51"/>
      <c r="M13" s="51"/>
      <c r="N13" s="51"/>
      <c r="O13" s="51"/>
      <c r="P13" s="51"/>
      <c r="Q13" s="51"/>
      <c r="R13" s="146">
        <v>1</v>
      </c>
      <c r="S13" s="147"/>
      <c r="T13" s="156" t="s">
        <v>31</v>
      </c>
      <c r="U13" s="157"/>
      <c r="AF13" s="1">
        <v>6</v>
      </c>
      <c r="AG13" s="1">
        <f t="shared" si="18"/>
        <v>1.1780972450961724</v>
      </c>
      <c r="AH13" s="1"/>
      <c r="AI13" s="1">
        <f t="shared" si="0"/>
        <v>20000</v>
      </c>
      <c r="AJ13" s="1">
        <f t="shared" si="1"/>
        <v>12500</v>
      </c>
      <c r="AK13" s="1">
        <f t="shared" si="2"/>
        <v>-20000</v>
      </c>
      <c r="AL13" s="1">
        <f t="shared" si="3"/>
        <v>13500</v>
      </c>
      <c r="AM13" s="1">
        <f t="shared" si="4"/>
        <v>-5000</v>
      </c>
      <c r="AN13" s="1">
        <f t="shared" si="5"/>
        <v>-10000</v>
      </c>
      <c r="AP13" s="1">
        <v>8</v>
      </c>
      <c r="AQ13" s="7">
        <f t="shared" si="6"/>
        <v>443.40662540911188</v>
      </c>
      <c r="AR13" s="7">
        <f t="shared" si="7"/>
        <v>-4778.9530228093909</v>
      </c>
      <c r="AS13" s="7"/>
      <c r="AT13" s="7">
        <f t="shared" si="8"/>
        <v>47.141792458704003</v>
      </c>
      <c r="AU13" s="7">
        <f t="shared" si="9"/>
        <v>-2815.6374149033445</v>
      </c>
      <c r="AV13" s="7"/>
      <c r="AX13" s="7">
        <f t="shared" si="10"/>
        <v>642.60853053385199</v>
      </c>
      <c r="AY13" s="7">
        <f t="shared" si="11"/>
        <v>403.47313089475165</v>
      </c>
      <c r="BB13" s="7">
        <f t="shared" si="12"/>
        <v>-204.63366046169691</v>
      </c>
      <c r="BC13" s="7">
        <f t="shared" si="13"/>
        <v>147.93382092640462</v>
      </c>
      <c r="BF13" s="7">
        <f t="shared" si="14"/>
        <v>-795.73040336946838</v>
      </c>
      <c r="BG13" s="7">
        <f t="shared" si="15"/>
        <v>-1494.1374756119565</v>
      </c>
      <c r="BH13" s="7"/>
      <c r="BI13" s="10">
        <f t="shared" si="16"/>
        <v>-357.75553329731326</v>
      </c>
      <c r="BJ13">
        <f t="shared" si="17"/>
        <v>-942.73052379080013</v>
      </c>
    </row>
    <row r="14" spans="1:62" ht="17.25" customHeight="1" x14ac:dyDescent="0.25">
      <c r="G14" s="77" t="s">
        <v>12</v>
      </c>
      <c r="H14" s="51"/>
      <c r="I14" s="51"/>
      <c r="J14" s="52" t="s">
        <v>27</v>
      </c>
      <c r="K14" s="51"/>
      <c r="L14" s="51"/>
      <c r="M14" s="51"/>
      <c r="N14" s="51"/>
      <c r="O14" s="51"/>
      <c r="P14" s="51"/>
      <c r="Q14" s="51"/>
      <c r="R14" s="69">
        <v>0</v>
      </c>
      <c r="S14" s="68">
        <v>0</v>
      </c>
      <c r="T14" s="155" t="s">
        <v>32</v>
      </c>
      <c r="U14" s="155"/>
      <c r="V14" s="55"/>
      <c r="AF14" s="1">
        <v>7</v>
      </c>
      <c r="AG14" s="1">
        <f t="shared" si="18"/>
        <v>1.3744467859455345</v>
      </c>
      <c r="AH14" s="1"/>
      <c r="AI14" s="1">
        <f t="shared" si="0"/>
        <v>19024.54838991936</v>
      </c>
      <c r="AJ14" s="1">
        <f t="shared" si="1"/>
        <v>12403.926402016152</v>
      </c>
      <c r="AK14" s="1">
        <f t="shared" si="2"/>
        <v>-20682.816127056449</v>
      </c>
      <c r="AL14" s="1">
        <f t="shared" si="3"/>
        <v>13432.748481411307</v>
      </c>
      <c r="AM14" s="1">
        <f t="shared" si="4"/>
        <v>-5975.4516100806413</v>
      </c>
      <c r="AN14" s="1">
        <f t="shared" si="5"/>
        <v>-10096.073597983848</v>
      </c>
      <c r="AP14" s="1">
        <v>9</v>
      </c>
      <c r="AQ14" s="7">
        <f t="shared" si="6"/>
        <v>422.25807997629971</v>
      </c>
      <c r="AR14" s="7">
        <f t="shared" si="7"/>
        <v>-6304.6130457349136</v>
      </c>
      <c r="AS14" s="7"/>
      <c r="AT14" s="7">
        <f t="shared" si="8"/>
        <v>-131.73597418995263</v>
      </c>
      <c r="AU14" s="7">
        <f t="shared" si="9"/>
        <v>-3287.0026767987447</v>
      </c>
      <c r="AV14" s="7"/>
      <c r="AX14" s="7">
        <f t="shared" si="10"/>
        <v>586.01836897302167</v>
      </c>
      <c r="AY14" s="7">
        <f t="shared" si="11"/>
        <v>413.21194519840094</v>
      </c>
      <c r="BB14" s="7">
        <f t="shared" si="12"/>
        <v>-185.22979369488772</v>
      </c>
      <c r="BC14" s="7">
        <f t="shared" si="13"/>
        <v>147.88277079397079</v>
      </c>
      <c r="BF14" s="7">
        <f t="shared" si="14"/>
        <v>-967.1953823256714</v>
      </c>
      <c r="BG14" s="7">
        <f t="shared" si="15"/>
        <v>-1551.0398040177452</v>
      </c>
      <c r="BI14" s="10">
        <f t="shared" si="16"/>
        <v>-566.40680704753743</v>
      </c>
      <c r="BJ14">
        <f t="shared" si="17"/>
        <v>-989.94508802537337</v>
      </c>
    </row>
    <row r="15" spans="1:62" ht="17.25" customHeight="1" x14ac:dyDescent="0.25">
      <c r="H15" s="77" t="s">
        <v>54</v>
      </c>
      <c r="I15" s="51"/>
      <c r="J15" s="51"/>
      <c r="K15" s="51"/>
      <c r="L15" s="53"/>
      <c r="M15" s="51"/>
      <c r="N15" s="51"/>
      <c r="O15" s="51"/>
      <c r="P15" s="51"/>
      <c r="Q15" s="51"/>
      <c r="R15" s="69">
        <v>0</v>
      </c>
      <c r="S15" s="68">
        <v>0</v>
      </c>
      <c r="T15" s="54" t="s">
        <v>33</v>
      </c>
      <c r="U15" s="51"/>
      <c r="V15" s="51"/>
      <c r="W15" s="55"/>
      <c r="AF15" s="1">
        <v>8</v>
      </c>
      <c r="AG15" s="1">
        <f t="shared" si="18"/>
        <v>1.5707963267948966</v>
      </c>
      <c r="AH15" s="1"/>
      <c r="AI15" s="1">
        <f t="shared" si="0"/>
        <v>18086.582838174552</v>
      </c>
      <c r="AJ15" s="1">
        <f t="shared" si="1"/>
        <v>12119.397662556434</v>
      </c>
      <c r="AK15" s="1">
        <f t="shared" si="2"/>
        <v>-21339.392013277815</v>
      </c>
      <c r="AL15" s="1">
        <f t="shared" si="3"/>
        <v>13233.578363789504</v>
      </c>
      <c r="AM15" s="1">
        <f t="shared" si="4"/>
        <v>-6913.4171618254486</v>
      </c>
      <c r="AN15" s="1">
        <f t="shared" si="5"/>
        <v>-10380.602337443566</v>
      </c>
      <c r="AP15" s="1">
        <v>10</v>
      </c>
      <c r="AQ15" s="7">
        <f t="shared" si="6"/>
        <v>285.58924200038126</v>
      </c>
      <c r="AR15" s="7">
        <f t="shared" si="7"/>
        <v>-8071.857520137457</v>
      </c>
      <c r="AS15" s="7"/>
      <c r="AT15" s="7">
        <f t="shared" si="8"/>
        <v>-414.93937771372134</v>
      </c>
      <c r="AU15" s="7">
        <f t="shared" si="9"/>
        <v>-3781.9752208114314</v>
      </c>
      <c r="AV15" s="7"/>
      <c r="AX15" s="7">
        <f t="shared" si="10"/>
        <v>522.13276740854087</v>
      </c>
      <c r="AY15" s="7">
        <f t="shared" si="11"/>
        <v>412.417959658352</v>
      </c>
      <c r="BB15" s="7">
        <f t="shared" si="12"/>
        <v>-164.98248751021697</v>
      </c>
      <c r="BC15" s="7">
        <f t="shared" si="13"/>
        <v>146.97823031087293</v>
      </c>
      <c r="BF15" s="7">
        <f t="shared" si="14"/>
        <v>-1185.9262876831885</v>
      </c>
      <c r="BG15" s="7">
        <f t="shared" si="15"/>
        <v>-1554.4655317510187</v>
      </c>
      <c r="BI15" s="10">
        <f t="shared" si="16"/>
        <v>-828.77600778486465</v>
      </c>
      <c r="BJ15">
        <f t="shared" si="17"/>
        <v>-995.06934178179381</v>
      </c>
    </row>
    <row r="16" spans="1:62" ht="17.25" customHeight="1" x14ac:dyDescent="0.25">
      <c r="I16" s="77" t="s">
        <v>13</v>
      </c>
      <c r="J16" s="51"/>
      <c r="K16" s="51"/>
      <c r="L16" s="51"/>
      <c r="M16" s="121" t="s">
        <v>28</v>
      </c>
      <c r="N16" s="51"/>
      <c r="O16" s="51"/>
      <c r="P16" s="51"/>
      <c r="Q16" s="51"/>
      <c r="R16" s="69">
        <v>0</v>
      </c>
      <c r="S16" s="68">
        <v>0</v>
      </c>
      <c r="T16" s="54" t="s">
        <v>34</v>
      </c>
      <c r="U16" s="51"/>
      <c r="V16" s="51"/>
      <c r="W16" s="51"/>
      <c r="X16" s="55"/>
      <c r="AF16" s="1">
        <v>9</v>
      </c>
      <c r="AG16" s="1">
        <f t="shared" si="18"/>
        <v>1.7671458676442586</v>
      </c>
      <c r="AH16" s="1"/>
      <c r="AI16" s="1">
        <f t="shared" si="0"/>
        <v>17222.148834901989</v>
      </c>
      <c r="AJ16" s="1">
        <f t="shared" si="1"/>
        <v>11657.348061512726</v>
      </c>
      <c r="AK16" s="1">
        <f t="shared" si="2"/>
        <v>-21944.495815568607</v>
      </c>
      <c r="AL16" s="1">
        <f t="shared" si="3"/>
        <v>12910.143643058909</v>
      </c>
      <c r="AM16" s="1">
        <f t="shared" si="4"/>
        <v>-7777.8511650980099</v>
      </c>
      <c r="AN16" s="1">
        <f t="shared" si="5"/>
        <v>-10842.651938487274</v>
      </c>
      <c r="AP16" s="1">
        <v>11</v>
      </c>
      <c r="AQ16" s="7">
        <f t="shared" si="6"/>
        <v>-25.47744782958749</v>
      </c>
      <c r="AR16" s="7">
        <f t="shared" si="7"/>
        <v>-10087.228798265898</v>
      </c>
      <c r="AS16" s="7"/>
      <c r="AT16" s="7">
        <f t="shared" si="8"/>
        <v>-829.32738160615372</v>
      </c>
      <c r="AU16" s="7">
        <f t="shared" si="9"/>
        <v>-4279.5098917023279</v>
      </c>
      <c r="AV16" s="7"/>
      <c r="AX16" s="7">
        <f t="shared" si="10"/>
        <v>454.55698178624539</v>
      </c>
      <c r="AY16" s="7">
        <f t="shared" si="11"/>
        <v>399.21133772470102</v>
      </c>
      <c r="BB16" s="7">
        <f t="shared" si="12"/>
        <v>-144.38057391759932</v>
      </c>
      <c r="BC16" s="7">
        <f t="shared" si="13"/>
        <v>145.19524132468564</v>
      </c>
      <c r="BF16" s="7">
        <f t="shared" si="14"/>
        <v>-1433.8055435751926</v>
      </c>
      <c r="BG16" s="7">
        <f t="shared" si="15"/>
        <v>-1416.0069653899945</v>
      </c>
      <c r="BI16" s="10">
        <f t="shared" si="16"/>
        <v>-1123.6291357065465</v>
      </c>
      <c r="BJ16">
        <f t="shared" si="17"/>
        <v>-871.60038634060788</v>
      </c>
    </row>
    <row r="17" spans="4:62" ht="17.25" customHeight="1" x14ac:dyDescent="0.25">
      <c r="J17" s="77" t="s">
        <v>14</v>
      </c>
      <c r="K17" s="57"/>
      <c r="L17" s="58" t="s">
        <v>29</v>
      </c>
      <c r="M17" s="57"/>
      <c r="N17" s="57"/>
      <c r="O17" s="57"/>
      <c r="P17" s="57"/>
      <c r="Q17" s="57"/>
      <c r="R17" s="144">
        <v>2500</v>
      </c>
      <c r="S17" s="145"/>
      <c r="T17" s="154" t="s">
        <v>32</v>
      </c>
      <c r="U17" s="154"/>
      <c r="V17" s="57"/>
      <c r="W17" s="57"/>
      <c r="X17" s="57"/>
      <c r="Y17" s="59"/>
      <c r="AF17" s="1">
        <v>10</v>
      </c>
      <c r="AG17" s="1">
        <f t="shared" si="18"/>
        <v>1.9634954084936207</v>
      </c>
      <c r="AH17" s="1"/>
      <c r="AI17" s="1">
        <f t="shared" si="0"/>
        <v>16464.466094067262</v>
      </c>
      <c r="AJ17" s="1">
        <f t="shared" si="1"/>
        <v>11035.533905932738</v>
      </c>
      <c r="AK17" s="1">
        <f t="shared" si="2"/>
        <v>-22474.873734152916</v>
      </c>
      <c r="AL17" s="1">
        <f t="shared" si="3"/>
        <v>12474.873734152916</v>
      </c>
      <c r="AM17" s="1">
        <f t="shared" si="4"/>
        <v>-8535.533905932738</v>
      </c>
      <c r="AN17" s="1">
        <f t="shared" si="5"/>
        <v>-11464.466094067262</v>
      </c>
      <c r="AP17" s="1">
        <v>12</v>
      </c>
      <c r="AQ17" s="7">
        <f t="shared" si="6"/>
        <v>-580.59478059598268</v>
      </c>
      <c r="AR17" s="7">
        <f t="shared" si="7"/>
        <v>-12335.933792409638</v>
      </c>
      <c r="AS17" s="7"/>
      <c r="AT17" s="7">
        <f t="shared" si="8"/>
        <v>-1391.141949459427</v>
      </c>
      <c r="AU17" s="7">
        <f t="shared" si="9"/>
        <v>-4715.3100848726317</v>
      </c>
      <c r="AV17" s="7"/>
      <c r="AX17" s="7">
        <f t="shared" si="10"/>
        <v>388.04730664497805</v>
      </c>
      <c r="AY17" s="7">
        <f t="shared" si="11"/>
        <v>374.00671676359411</v>
      </c>
      <c r="BB17" s="7">
        <f t="shared" si="12"/>
        <v>-123.96839267233051</v>
      </c>
      <c r="BC17" s="7">
        <f t="shared" si="13"/>
        <v>142.58674659684527</v>
      </c>
      <c r="BF17" s="7">
        <f t="shared" si="14"/>
        <v>-1623.9244192774768</v>
      </c>
      <c r="BG17" s="7">
        <f t="shared" si="15"/>
        <v>-978.91955009759147</v>
      </c>
      <c r="BI17" s="10">
        <f t="shared" si="16"/>
        <v>-1359.8455053048292</v>
      </c>
      <c r="BJ17">
        <f t="shared" si="17"/>
        <v>-462.32608673715208</v>
      </c>
    </row>
    <row r="18" spans="4:62" ht="6.75" customHeight="1" x14ac:dyDescent="0.25">
      <c r="H18" s="1"/>
      <c r="I18" s="1"/>
      <c r="J18" s="1"/>
      <c r="K18" s="5"/>
      <c r="AF18" s="1">
        <v>11</v>
      </c>
      <c r="AG18" s="1">
        <f t="shared" si="18"/>
        <v>2.1598449493429825</v>
      </c>
      <c r="AH18" s="1"/>
      <c r="AI18" s="1">
        <f t="shared" si="0"/>
        <v>15842.651938487274</v>
      </c>
      <c r="AJ18" s="1">
        <f t="shared" si="1"/>
        <v>10277.851165098011</v>
      </c>
      <c r="AK18" s="1">
        <f t="shared" si="2"/>
        <v>-22910.143643058909</v>
      </c>
      <c r="AL18" s="1">
        <f t="shared" si="3"/>
        <v>11944.495815568607</v>
      </c>
      <c r="AM18" s="1">
        <f t="shared" si="4"/>
        <v>-9157.3480615127264</v>
      </c>
      <c r="AN18" s="1">
        <f t="shared" si="5"/>
        <v>-12222.148834901989</v>
      </c>
      <c r="AP18" s="1">
        <v>13</v>
      </c>
      <c r="AQ18" s="7">
        <f t="shared" si="6"/>
        <v>-1446.1464434887998</v>
      </c>
      <c r="AR18" s="7">
        <f t="shared" si="7"/>
        <v>-14751.379595688099</v>
      </c>
      <c r="AS18" s="7"/>
      <c r="AT18" s="7">
        <f t="shared" si="8"/>
        <v>-2071.0647021118416</v>
      </c>
      <c r="AU18" s="7">
        <f t="shared" si="9"/>
        <v>-4946.4731282412076</v>
      </c>
      <c r="AV18" s="7"/>
      <c r="AX18" s="7">
        <f t="shared" si="10"/>
        <v>327.66607473698099</v>
      </c>
      <c r="AY18" s="7">
        <f t="shared" si="11"/>
        <v>339.9688717417705</v>
      </c>
      <c r="BB18" s="7">
        <f t="shared" si="12"/>
        <v>-104.45037905727233</v>
      </c>
      <c r="BC18" s="7">
        <f t="shared" si="13"/>
        <v>139.33983973118018</v>
      </c>
      <c r="BF18" s="7">
        <f t="shared" si="14"/>
        <v>-1555.4653048605192</v>
      </c>
      <c r="BG18" s="7">
        <f t="shared" si="15"/>
        <v>-108.81720555958945</v>
      </c>
      <c r="BI18" s="10">
        <f t="shared" si="16"/>
        <v>-1332.2496091808105</v>
      </c>
      <c r="BJ18">
        <f t="shared" si="17"/>
        <v>370.49150591336121</v>
      </c>
    </row>
    <row r="19" spans="4:62" x14ac:dyDescent="0.25">
      <c r="E19" s="136" t="s">
        <v>15</v>
      </c>
      <c r="F19" s="136"/>
      <c r="G19" s="136"/>
      <c r="H19" s="136"/>
      <c r="I19" s="136"/>
      <c r="J19" s="136"/>
      <c r="K19" s="136"/>
      <c r="AF19" s="1">
        <v>12</v>
      </c>
      <c r="AG19" s="1">
        <f t="shared" si="18"/>
        <v>2.3561944901923448</v>
      </c>
      <c r="AH19" s="1"/>
      <c r="AI19" s="1">
        <f t="shared" si="0"/>
        <v>15380.602337443564</v>
      </c>
      <c r="AJ19" s="1">
        <f t="shared" si="1"/>
        <v>9413.4171618254477</v>
      </c>
      <c r="AK19" s="1">
        <f t="shared" si="2"/>
        <v>-23233.578363789504</v>
      </c>
      <c r="AL19" s="1">
        <f t="shared" si="3"/>
        <v>11339.392013277813</v>
      </c>
      <c r="AM19" s="1">
        <f t="shared" si="4"/>
        <v>-9619.3976625564355</v>
      </c>
      <c r="AN19" s="1">
        <f t="shared" si="5"/>
        <v>-13086.582838174552</v>
      </c>
      <c r="AP19" s="1">
        <v>14</v>
      </c>
      <c r="AQ19" s="7">
        <f t="shared" si="6"/>
        <v>-2648.2099956923216</v>
      </c>
      <c r="AR19" s="7">
        <f t="shared" si="7"/>
        <v>-17178.304721569533</v>
      </c>
      <c r="AS19" s="7"/>
      <c r="AT19" s="7">
        <f t="shared" si="8"/>
        <v>-2737.1895067022469</v>
      </c>
      <c r="AU19" s="7">
        <f t="shared" si="9"/>
        <v>-4761.2273752845267</v>
      </c>
      <c r="AV19" s="7"/>
      <c r="AX19" s="7">
        <f t="shared" si="10"/>
        <v>277.61756850883444</v>
      </c>
      <c r="AY19" s="7">
        <f t="shared" si="11"/>
        <v>302.50209411804741</v>
      </c>
      <c r="BB19" s="7">
        <f t="shared" si="12"/>
        <v>-86.745678154182173</v>
      </c>
      <c r="BC19" s="7">
        <f t="shared" si="13"/>
        <v>135.87073573206416</v>
      </c>
      <c r="BF19" s="7">
        <f t="shared" si="14"/>
        <v>-1063.3496258666194</v>
      </c>
      <c r="BG19" s="7">
        <f t="shared" si="15"/>
        <v>984.90915705134466</v>
      </c>
      <c r="BI19" s="10">
        <f t="shared" si="16"/>
        <v>-872.47773551196701</v>
      </c>
      <c r="BJ19">
        <f t="shared" si="17"/>
        <v>1423.2819869014561</v>
      </c>
    </row>
    <row r="20" spans="4:62" x14ac:dyDescent="0.25">
      <c r="E20" s="137"/>
      <c r="F20" s="137"/>
      <c r="G20" s="137"/>
      <c r="H20" s="137"/>
      <c r="I20" s="137"/>
      <c r="J20" s="137"/>
      <c r="K20" s="137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AF20" s="1">
        <v>13</v>
      </c>
      <c r="AG20" s="1">
        <f t="shared" si="18"/>
        <v>2.5525440310417071</v>
      </c>
      <c r="AH20" s="1"/>
      <c r="AI20" s="1">
        <f t="shared" si="0"/>
        <v>15096.073597983846</v>
      </c>
      <c r="AJ20" s="1">
        <f t="shared" si="1"/>
        <v>8475.4516100806395</v>
      </c>
      <c r="AK20" s="1">
        <f t="shared" si="2"/>
        <v>-23432.748481411305</v>
      </c>
      <c r="AL20" s="1">
        <f t="shared" si="3"/>
        <v>10682.816127056447</v>
      </c>
      <c r="AM20" s="1">
        <f t="shared" si="4"/>
        <v>-9903.9264020161536</v>
      </c>
      <c r="AN20" s="1">
        <f t="shared" si="5"/>
        <v>-14024.54838991936</v>
      </c>
      <c r="AP20" s="1">
        <v>15</v>
      </c>
      <c r="AQ20" s="7">
        <f t="shared" si="6"/>
        <v>-4125.8644659824413</v>
      </c>
      <c r="AR20" s="7">
        <f t="shared" si="7"/>
        <v>-19381.008160849116</v>
      </c>
      <c r="AS20" s="7"/>
      <c r="AT20" s="7">
        <f t="shared" si="8"/>
        <v>-3173.4283744582303</v>
      </c>
      <c r="AU20" s="7">
        <f t="shared" si="9"/>
        <v>-4049.5863818337984</v>
      </c>
      <c r="AV20" s="7"/>
      <c r="AX20" s="7">
        <f t="shared" si="10"/>
        <v>239.95577445043651</v>
      </c>
      <c r="AY20" s="7">
        <f t="shared" si="11"/>
        <v>267.35842524274869</v>
      </c>
      <c r="BB20" s="7">
        <f t="shared" si="12"/>
        <v>-71.766807806764248</v>
      </c>
      <c r="BC20" s="7">
        <f t="shared" si="13"/>
        <v>132.83124371277012</v>
      </c>
      <c r="BF20" s="7">
        <f t="shared" si="14"/>
        <v>-348.36709522599278</v>
      </c>
      <c r="BG20" s="7">
        <f t="shared" si="15"/>
        <v>1745.9524613327512</v>
      </c>
      <c r="BI20" s="10">
        <f t="shared" si="16"/>
        <v>-180.17812858232051</v>
      </c>
      <c r="BJ20">
        <f t="shared" si="17"/>
        <v>2146.14213028827</v>
      </c>
    </row>
    <row r="21" spans="4:62" x14ac:dyDescent="0.25">
      <c r="H21" s="1"/>
      <c r="I21" s="1"/>
      <c r="J21" s="1"/>
      <c r="K21" s="5"/>
      <c r="AF21" s="1">
        <v>14</v>
      </c>
      <c r="AG21" s="1">
        <f t="shared" si="18"/>
        <v>2.7488935718910694</v>
      </c>
      <c r="AH21" s="1"/>
      <c r="AI21" s="1">
        <f t="shared" si="0"/>
        <v>15000</v>
      </c>
      <c r="AJ21" s="1">
        <f t="shared" si="1"/>
        <v>7499.9999999999964</v>
      </c>
      <c r="AK21" s="1">
        <f t="shared" si="2"/>
        <v>-23500</v>
      </c>
      <c r="AL21" s="1">
        <f t="shared" si="3"/>
        <v>9999.9999999999982</v>
      </c>
      <c r="AM21" s="1">
        <f t="shared" si="4"/>
        <v>-10000</v>
      </c>
      <c r="AN21" s="1">
        <f t="shared" si="5"/>
        <v>-15000.000000000004</v>
      </c>
      <c r="AP21" s="1">
        <v>16</v>
      </c>
      <c r="AQ21" s="7">
        <f t="shared" si="6"/>
        <v>-5735.1009192843467</v>
      </c>
      <c r="AR21" s="7">
        <f t="shared" si="7"/>
        <v>-21137.533585479981</v>
      </c>
      <c r="AS21" s="7"/>
      <c r="AT21" s="7">
        <f t="shared" si="8"/>
        <v>-3263.5174387493907</v>
      </c>
      <c r="AU21" s="7">
        <f t="shared" si="9"/>
        <v>-2976.5153166896635</v>
      </c>
      <c r="AV21" s="7"/>
      <c r="AX21" s="7">
        <f t="shared" si="10"/>
        <v>214.06641854686353</v>
      </c>
      <c r="AY21" s="7">
        <f t="shared" si="11"/>
        <v>238.20906200781644</v>
      </c>
      <c r="BB21" s="7">
        <f t="shared" si="12"/>
        <v>-59.97038845614248</v>
      </c>
      <c r="BC21" s="7">
        <f t="shared" si="13"/>
        <v>130.90383423825355</v>
      </c>
      <c r="BF21" s="7">
        <f t="shared" si="14"/>
        <v>236.88515206059012</v>
      </c>
      <c r="BG21" s="7">
        <f t="shared" si="15"/>
        <v>1977.8108536292286</v>
      </c>
      <c r="BI21" s="10">
        <f t="shared" si="16"/>
        <v>390.98118215131115</v>
      </c>
      <c r="BJ21">
        <f t="shared" si="17"/>
        <v>2346.9237498752987</v>
      </c>
    </row>
    <row r="22" spans="4:62" ht="17.25" customHeight="1" x14ac:dyDescent="0.3">
      <c r="E22" s="71" t="s">
        <v>16</v>
      </c>
      <c r="F22" s="24"/>
      <c r="G22" s="24"/>
      <c r="H22" s="25"/>
      <c r="I22" s="25"/>
      <c r="J22" s="25"/>
      <c r="K22" s="26"/>
      <c r="L22" s="24"/>
      <c r="M22" s="24"/>
      <c r="N22" s="24"/>
      <c r="O22" s="24"/>
      <c r="P22" s="24"/>
      <c r="Q22" s="24"/>
      <c r="R22" s="24"/>
      <c r="S22" s="24"/>
      <c r="T22" s="27"/>
      <c r="U22" s="39"/>
      <c r="AF22" s="1">
        <v>15</v>
      </c>
      <c r="AG22" s="1">
        <f t="shared" si="18"/>
        <v>2.9452431127404317</v>
      </c>
      <c r="AH22" s="1"/>
      <c r="AI22" s="1">
        <f t="shared" si="0"/>
        <v>15096.07359798385</v>
      </c>
      <c r="AJ22" s="1">
        <f t="shared" si="1"/>
        <v>6524.5483899193541</v>
      </c>
      <c r="AK22" s="1">
        <f t="shared" si="2"/>
        <v>-23432.748481411305</v>
      </c>
      <c r="AL22" s="1">
        <f t="shared" si="3"/>
        <v>9317.1838729435476</v>
      </c>
      <c r="AM22" s="1">
        <f t="shared" si="4"/>
        <v>-9903.92640201615</v>
      </c>
      <c r="AN22" s="1">
        <f t="shared" si="5"/>
        <v>-15975.451610080647</v>
      </c>
      <c r="AP22" s="1">
        <v>17</v>
      </c>
      <c r="AQ22" s="7">
        <f t="shared" si="6"/>
        <v>-7317.9869908901273</v>
      </c>
      <c r="AR22" s="7">
        <f t="shared" si="7"/>
        <v>-22332.4257750904</v>
      </c>
      <c r="AS22" s="7"/>
      <c r="AT22" s="7">
        <f t="shared" si="8"/>
        <v>-3068.0268476737351</v>
      </c>
      <c r="AU22" s="7">
        <f t="shared" si="9"/>
        <v>-1803.0534417520141</v>
      </c>
      <c r="AV22" s="7"/>
      <c r="AX22" s="7">
        <f t="shared" si="10"/>
        <v>197.71080916798957</v>
      </c>
      <c r="AY22" s="7">
        <f t="shared" si="11"/>
        <v>215.90877253891412</v>
      </c>
      <c r="BB22" s="7">
        <f t="shared" si="12"/>
        <v>-51.215518141821811</v>
      </c>
      <c r="BC22" s="7">
        <f t="shared" si="13"/>
        <v>130.5724838528198</v>
      </c>
      <c r="BF22" s="7">
        <f t="shared" si="14"/>
        <v>604.57570525793642</v>
      </c>
      <c r="BG22" s="7">
        <f t="shared" si="15"/>
        <v>1912.4380342291893</v>
      </c>
      <c r="BI22" s="10">
        <f t="shared" si="16"/>
        <v>751.07099628410424</v>
      </c>
      <c r="BJ22">
        <f t="shared" si="17"/>
        <v>2258.9192906209232</v>
      </c>
    </row>
    <row r="23" spans="4:62" ht="17.25" customHeight="1" x14ac:dyDescent="0.35">
      <c r="D23" s="88"/>
      <c r="E23" s="88"/>
      <c r="F23" s="78" t="s">
        <v>17</v>
      </c>
      <c r="G23" s="111"/>
      <c r="H23" s="112" t="s">
        <v>71</v>
      </c>
      <c r="I23" s="111"/>
      <c r="J23" s="111"/>
      <c r="K23" s="111"/>
      <c r="L23" s="111"/>
      <c r="M23" s="111"/>
      <c r="N23" s="111"/>
      <c r="O23" s="111"/>
      <c r="P23" s="111"/>
      <c r="Q23" s="111"/>
      <c r="R23" s="113">
        <v>20000</v>
      </c>
      <c r="S23" s="114">
        <v>7500</v>
      </c>
      <c r="T23" s="190" t="s">
        <v>32</v>
      </c>
      <c r="U23" s="191"/>
      <c r="V23" s="28"/>
      <c r="W23" s="11"/>
      <c r="X23" s="11"/>
      <c r="Y23" s="11"/>
      <c r="Z23" s="11"/>
      <c r="AF23" s="1">
        <v>16</v>
      </c>
      <c r="AG23" s="1">
        <f t="shared" si="18"/>
        <v>3.141592653589794</v>
      </c>
      <c r="AH23" s="1"/>
      <c r="AI23" s="1">
        <f t="shared" si="0"/>
        <v>15380.602337443568</v>
      </c>
      <c r="AJ23" s="1">
        <f t="shared" si="1"/>
        <v>5586.582838174545</v>
      </c>
      <c r="AK23" s="1">
        <f t="shared" si="2"/>
        <v>-23233.5783637895</v>
      </c>
      <c r="AL23" s="1">
        <f t="shared" si="3"/>
        <v>8660.6079867221815</v>
      </c>
      <c r="AM23" s="1">
        <f t="shared" si="4"/>
        <v>-9619.3976625564319</v>
      </c>
      <c r="AN23" s="1">
        <f t="shared" si="5"/>
        <v>-16913.417161825455</v>
      </c>
      <c r="AP23" s="1">
        <v>18</v>
      </c>
      <c r="AQ23" s="7">
        <f t="shared" si="6"/>
        <v>-8758.1165401914823</v>
      </c>
      <c r="AR23" s="7">
        <f t="shared" si="7"/>
        <v>-22951.587584638793</v>
      </c>
      <c r="AS23" s="7"/>
      <c r="AT23" s="7">
        <f t="shared" si="8"/>
        <v>-2692.4913495316832</v>
      </c>
      <c r="AU23" s="7">
        <f t="shared" si="9"/>
        <v>-673.59379644155251</v>
      </c>
      <c r="AV23" s="7"/>
      <c r="AX23" s="7">
        <f t="shared" si="10"/>
        <v>188.5728080296347</v>
      </c>
      <c r="AY23" s="7">
        <f t="shared" si="11"/>
        <v>199.67724144139876</v>
      </c>
      <c r="BB23" s="7">
        <f t="shared" si="12"/>
        <v>-45.077783953265154</v>
      </c>
      <c r="BC23" s="7">
        <f t="shared" si="13"/>
        <v>132.12950938051642</v>
      </c>
      <c r="BF23" s="7">
        <f t="shared" si="14"/>
        <v>833.13949704452</v>
      </c>
      <c r="BG23" s="7">
        <f t="shared" si="15"/>
        <v>1762.7930401098927</v>
      </c>
      <c r="BI23" s="10">
        <f t="shared" si="16"/>
        <v>976.63452112088953</v>
      </c>
      <c r="BJ23">
        <f t="shared" si="17"/>
        <v>2094.5997909318075</v>
      </c>
    </row>
    <row r="24" spans="4:62" ht="17.25" customHeight="1" x14ac:dyDescent="0.35">
      <c r="D24" s="88"/>
      <c r="E24" s="88"/>
      <c r="F24" s="88"/>
      <c r="G24" s="78" t="s">
        <v>18</v>
      </c>
      <c r="H24" s="111"/>
      <c r="I24" s="115" t="s">
        <v>72</v>
      </c>
      <c r="J24" s="111"/>
      <c r="K24" s="111"/>
      <c r="L24" s="111"/>
      <c r="M24" s="111"/>
      <c r="N24" s="111"/>
      <c r="O24" s="111"/>
      <c r="P24" s="111"/>
      <c r="Q24" s="111"/>
      <c r="R24" s="188">
        <v>5000</v>
      </c>
      <c r="S24" s="189"/>
      <c r="T24" s="190" t="s">
        <v>32</v>
      </c>
      <c r="U24" s="191"/>
      <c r="V24" s="21"/>
      <c r="W24" s="11"/>
      <c r="X24" s="11"/>
      <c r="Y24" s="11"/>
      <c r="Z24" s="11"/>
      <c r="AF24" s="1">
        <v>17</v>
      </c>
      <c r="AG24" s="1">
        <f t="shared" si="18"/>
        <v>3.3379421944391563</v>
      </c>
      <c r="AH24" s="1"/>
      <c r="AI24" s="1">
        <f t="shared" si="0"/>
        <v>15842.651938487277</v>
      </c>
      <c r="AJ24" s="1">
        <f t="shared" si="1"/>
        <v>4722.1488349019828</v>
      </c>
      <c r="AK24" s="1">
        <f t="shared" si="2"/>
        <v>-22910.143643058906</v>
      </c>
      <c r="AL24" s="1">
        <f t="shared" si="3"/>
        <v>8055.5041844313882</v>
      </c>
      <c r="AM24" s="1">
        <f t="shared" si="4"/>
        <v>-9157.3480615127228</v>
      </c>
      <c r="AN24" s="1">
        <f t="shared" si="5"/>
        <v>-17777.851165098018</v>
      </c>
      <c r="AP24" s="1">
        <v>19</v>
      </c>
      <c r="AQ24" s="7">
        <f t="shared" si="6"/>
        <v>-9982.2828998172135</v>
      </c>
      <c r="AR24" s="7">
        <f t="shared" si="7"/>
        <v>-23026.559508993094</v>
      </c>
      <c r="AS24" s="7"/>
      <c r="AT24" s="7">
        <f t="shared" si="8"/>
        <v>-2204.1740889712382</v>
      </c>
      <c r="AU24" s="7">
        <f t="shared" si="9"/>
        <v>373.70609902435126</v>
      </c>
      <c r="AV24" s="7"/>
      <c r="AX24" s="7">
        <f t="shared" si="10"/>
        <v>185.03532360529621</v>
      </c>
      <c r="AY24" s="7">
        <f t="shared" si="11"/>
        <v>188.3943206118339</v>
      </c>
      <c r="BB24" s="7">
        <f t="shared" si="12"/>
        <v>-41.197616442240943</v>
      </c>
      <c r="BC24" s="7">
        <f t="shared" si="13"/>
        <v>135.8209178250319</v>
      </c>
      <c r="BF24" s="7">
        <f t="shared" si="14"/>
        <v>1002.0221061768497</v>
      </c>
      <c r="BG24" s="7">
        <f t="shared" si="15"/>
        <v>1614.2780781978774</v>
      </c>
      <c r="BI24" s="10">
        <f t="shared" si="16"/>
        <v>1145.859813339905</v>
      </c>
      <c r="BJ24">
        <f t="shared" si="17"/>
        <v>1938.4933166347432</v>
      </c>
    </row>
    <row r="25" spans="4:62" ht="17.25" customHeight="1" x14ac:dyDescent="0.35">
      <c r="D25" s="88"/>
      <c r="E25" s="88"/>
      <c r="F25" s="88"/>
      <c r="G25" s="88"/>
      <c r="H25" s="78" t="s">
        <v>19</v>
      </c>
      <c r="I25" s="111"/>
      <c r="J25" s="111"/>
      <c r="K25" s="111"/>
      <c r="L25" s="111"/>
      <c r="M25" s="117" t="s">
        <v>73</v>
      </c>
      <c r="N25" s="111"/>
      <c r="O25" s="122"/>
      <c r="P25" s="111"/>
      <c r="Q25" s="111"/>
      <c r="R25" s="188">
        <v>1</v>
      </c>
      <c r="S25" s="189"/>
      <c r="T25" s="116" t="s">
        <v>58</v>
      </c>
      <c r="U25" s="117"/>
      <c r="V25" s="37"/>
      <c r="W25" s="21"/>
      <c r="X25" s="11"/>
      <c r="Y25" s="11"/>
      <c r="Z25" s="11"/>
      <c r="AF25" s="1">
        <v>18</v>
      </c>
      <c r="AG25" s="1">
        <f t="shared" si="18"/>
        <v>3.5342917352885186</v>
      </c>
      <c r="AH25" s="1"/>
      <c r="AI25" s="1">
        <f t="shared" si="0"/>
        <v>16464.466094067269</v>
      </c>
      <c r="AJ25" s="1">
        <f t="shared" si="1"/>
        <v>3964.4660940672566</v>
      </c>
      <c r="AK25" s="1">
        <f t="shared" si="2"/>
        <v>-22474.873734152912</v>
      </c>
      <c r="AL25" s="1">
        <f t="shared" si="3"/>
        <v>7525.1262658470796</v>
      </c>
      <c r="AM25" s="1">
        <f t="shared" si="4"/>
        <v>-8535.5339059327307</v>
      </c>
      <c r="AN25" s="1">
        <f t="shared" si="5"/>
        <v>-18535.533905932745</v>
      </c>
      <c r="AP25" s="1">
        <v>20</v>
      </c>
      <c r="AQ25" s="7">
        <f t="shared" si="6"/>
        <v>-10941.137467635344</v>
      </c>
      <c r="AR25" s="7">
        <f t="shared" si="7"/>
        <v>-22597.394794901578</v>
      </c>
      <c r="AS25" s="7"/>
      <c r="AT25" s="7">
        <f t="shared" si="8"/>
        <v>-1631.2441823012857</v>
      </c>
      <c r="AU25" s="7">
        <f t="shared" si="9"/>
        <v>1342.9527573417229</v>
      </c>
      <c r="AV25" s="7"/>
      <c r="AX25" s="7">
        <f t="shared" si="10"/>
        <v>186.24546355077959</v>
      </c>
      <c r="AY25" s="7">
        <f t="shared" si="11"/>
        <v>181.16668306427525</v>
      </c>
      <c r="BB25" s="7">
        <f t="shared" si="12"/>
        <v>-39.450198759995217</v>
      </c>
      <c r="BC25" s="7">
        <f t="shared" si="13"/>
        <v>141.95752492352042</v>
      </c>
      <c r="BF25" s="7">
        <f t="shared" si="14"/>
        <v>1160.0404142441178</v>
      </c>
      <c r="BG25" s="7">
        <f t="shared" si="15"/>
        <v>1483.4339472978972</v>
      </c>
      <c r="BI25" s="10">
        <f t="shared" si="16"/>
        <v>1306.8356790349021</v>
      </c>
      <c r="BJ25">
        <f t="shared" si="17"/>
        <v>1806.5581552856929</v>
      </c>
    </row>
    <row r="26" spans="4:62" ht="17.25" customHeight="1" x14ac:dyDescent="0.35">
      <c r="D26" s="88"/>
      <c r="E26" s="88"/>
      <c r="F26" s="92"/>
      <c r="G26" s="92"/>
      <c r="H26" s="88"/>
      <c r="I26" s="79" t="s">
        <v>20</v>
      </c>
      <c r="J26" s="111"/>
      <c r="K26" s="118" t="s">
        <v>74</v>
      </c>
      <c r="L26" s="111"/>
      <c r="M26" s="111"/>
      <c r="N26" s="111"/>
      <c r="O26" s="111"/>
      <c r="P26" s="111"/>
      <c r="Q26" s="111"/>
      <c r="R26" s="175">
        <f>(4/3)*PI()*R24^3</f>
        <v>523598775598.29883</v>
      </c>
      <c r="S26" s="176"/>
      <c r="T26" s="134" t="s">
        <v>60</v>
      </c>
      <c r="U26" s="135"/>
      <c r="V26" s="18"/>
      <c r="W26" s="38"/>
      <c r="X26" s="22"/>
      <c r="Y26" s="19"/>
      <c r="Z26" s="19"/>
      <c r="AF26" s="1">
        <v>19</v>
      </c>
      <c r="AG26" s="1">
        <f t="shared" si="18"/>
        <v>3.7306412761378809</v>
      </c>
      <c r="AH26" s="1"/>
      <c r="AI26" s="1">
        <f t="shared" si="0"/>
        <v>17222.148834901996</v>
      </c>
      <c r="AJ26" s="1">
        <f t="shared" si="1"/>
        <v>3342.651938487269</v>
      </c>
      <c r="AK26" s="1">
        <f t="shared" si="2"/>
        <v>-21944.495815568604</v>
      </c>
      <c r="AL26" s="1">
        <f t="shared" si="3"/>
        <v>7089.8563569410881</v>
      </c>
      <c r="AM26" s="1">
        <f t="shared" si="4"/>
        <v>-7777.8511650980035</v>
      </c>
      <c r="AN26" s="1">
        <f t="shared" si="5"/>
        <v>-19157.34806151273</v>
      </c>
      <c r="AP26" s="1">
        <v>21</v>
      </c>
      <c r="AQ26" s="7">
        <f t="shared" si="6"/>
        <v>-11593.405098906624</v>
      </c>
      <c r="AR26" s="7">
        <f t="shared" si="7"/>
        <v>-21700.098646820006</v>
      </c>
      <c r="AS26" s="7"/>
      <c r="AT26" s="7">
        <f t="shared" si="8"/>
        <v>-977.82634278383466</v>
      </c>
      <c r="AU26" s="7">
        <f t="shared" si="9"/>
        <v>2246.2318349845691</v>
      </c>
      <c r="AV26" s="7"/>
      <c r="AX26" s="7">
        <f t="shared" si="10"/>
        <v>191.99044231157399</v>
      </c>
      <c r="AY26" s="7">
        <f t="shared" si="11"/>
        <v>177.44652205718026</v>
      </c>
      <c r="BB26" s="7">
        <f t="shared" si="12"/>
        <v>-40.034536640023383</v>
      </c>
      <c r="BC26" s="7">
        <f t="shared" si="13"/>
        <v>150.96466235138917</v>
      </c>
      <c r="BF26" s="7">
        <f t="shared" si="14"/>
        <v>1335.3971471160403</v>
      </c>
      <c r="BG26" s="7">
        <f t="shared" si="15"/>
        <v>1357.0063547048244</v>
      </c>
      <c r="BI26" s="10">
        <f t="shared" si="16"/>
        <v>1487.353052787591</v>
      </c>
      <c r="BJ26">
        <f t="shared" si="17"/>
        <v>1685.4175391133938</v>
      </c>
    </row>
    <row r="27" spans="4:62" ht="17.25" customHeight="1" x14ac:dyDescent="0.35">
      <c r="D27" s="88"/>
      <c r="E27" s="88"/>
      <c r="F27" s="88"/>
      <c r="G27" s="92"/>
      <c r="H27" s="88"/>
      <c r="I27" s="88"/>
      <c r="J27" s="79" t="s">
        <v>21</v>
      </c>
      <c r="K27" s="111"/>
      <c r="L27" s="111"/>
      <c r="M27" s="118" t="s">
        <v>75</v>
      </c>
      <c r="N27" s="122"/>
      <c r="O27" s="111"/>
      <c r="P27" s="111"/>
      <c r="Q27" s="111"/>
      <c r="R27" s="175">
        <f>R26*R25</f>
        <v>523598775598.29883</v>
      </c>
      <c r="S27" s="176"/>
      <c r="T27" s="134" t="s">
        <v>31</v>
      </c>
      <c r="U27" s="135"/>
      <c r="V27" s="18"/>
      <c r="W27" s="18"/>
      <c r="X27" s="38"/>
      <c r="Y27" s="22"/>
      <c r="Z27" s="19"/>
      <c r="AA27" s="20"/>
      <c r="AF27" s="1">
        <v>20</v>
      </c>
      <c r="AG27" s="1">
        <f t="shared" si="18"/>
        <v>3.9269908169872432</v>
      </c>
      <c r="AH27" s="1"/>
      <c r="AI27" s="1">
        <f t="shared" si="0"/>
        <v>18086.58283817456</v>
      </c>
      <c r="AJ27" s="1">
        <f t="shared" si="1"/>
        <v>2880.6023374435626</v>
      </c>
      <c r="AK27" s="1">
        <f t="shared" si="2"/>
        <v>-21339.392013277808</v>
      </c>
      <c r="AL27" s="1">
        <f t="shared" si="3"/>
        <v>6766.4216362104935</v>
      </c>
      <c r="AM27" s="1">
        <f t="shared" si="4"/>
        <v>-6913.4171618254395</v>
      </c>
      <c r="AN27" s="1">
        <f t="shared" si="5"/>
        <v>-19619.397662556439</v>
      </c>
      <c r="AP27" s="1">
        <v>22</v>
      </c>
      <c r="AQ27" s="7">
        <f t="shared" si="6"/>
        <v>-11896.399138700093</v>
      </c>
      <c r="AR27" s="7">
        <f t="shared" si="7"/>
        <v>-20366.305536938547</v>
      </c>
      <c r="AS27" s="7"/>
      <c r="AT27" s="7">
        <f t="shared" si="8"/>
        <v>-234.14981639003918</v>
      </c>
      <c r="AU27" s="7">
        <f t="shared" si="9"/>
        <v>3088.9406045412661</v>
      </c>
      <c r="AV27" s="7"/>
      <c r="AX27" s="7">
        <f t="shared" si="10"/>
        <v>202.62864471487001</v>
      </c>
      <c r="AY27" s="7">
        <f t="shared" si="11"/>
        <v>177.02661982648033</v>
      </c>
      <c r="BB27" s="7">
        <f t="shared" si="12"/>
        <v>-43.595366025625076</v>
      </c>
      <c r="BC27" s="7">
        <f t="shared" si="13"/>
        <v>163.36320450467551</v>
      </c>
      <c r="BF27" s="7">
        <f t="shared" si="14"/>
        <v>1541.8066093366153</v>
      </c>
      <c r="BG27" s="7">
        <f t="shared" si="15"/>
        <v>1199.7283188181391</v>
      </c>
      <c r="BI27" s="10">
        <f t="shared" si="16"/>
        <v>1700.8398880258603</v>
      </c>
      <c r="BJ27">
        <f t="shared" si="17"/>
        <v>1540.1181431492948</v>
      </c>
    </row>
    <row r="28" spans="4:62" ht="17.25" customHeight="1" x14ac:dyDescent="0.35">
      <c r="D28" s="88"/>
      <c r="E28" s="88"/>
      <c r="F28" s="92"/>
      <c r="G28" s="92"/>
      <c r="H28" s="88"/>
      <c r="I28" s="88"/>
      <c r="J28" s="88"/>
      <c r="K28" s="79" t="s">
        <v>22</v>
      </c>
      <c r="L28" s="111"/>
      <c r="M28" s="111"/>
      <c r="N28" s="111"/>
      <c r="O28" s="111"/>
      <c r="P28" s="118" t="s">
        <v>76</v>
      </c>
      <c r="Q28" s="111"/>
      <c r="R28" s="175">
        <f>R24*R9</f>
        <v>10000</v>
      </c>
      <c r="S28" s="176"/>
      <c r="T28" s="134" t="s">
        <v>32</v>
      </c>
      <c r="U28" s="135"/>
      <c r="V28" s="18"/>
      <c r="W28" s="18"/>
      <c r="X28" s="18"/>
      <c r="Y28" s="38"/>
      <c r="Z28" s="22"/>
      <c r="AF28" s="1">
        <v>21</v>
      </c>
      <c r="AG28" s="1">
        <f t="shared" si="18"/>
        <v>4.1233403578366055</v>
      </c>
      <c r="AH28" s="1"/>
      <c r="AI28" s="1">
        <f t="shared" si="0"/>
        <v>19024.548389919371</v>
      </c>
      <c r="AJ28" s="1">
        <f t="shared" si="1"/>
        <v>2596.0735979838455</v>
      </c>
      <c r="AK28" s="1">
        <f t="shared" si="2"/>
        <v>-20682.816127056441</v>
      </c>
      <c r="AL28" s="1">
        <f t="shared" si="3"/>
        <v>6567.2515185886914</v>
      </c>
      <c r="AM28" s="1">
        <f t="shared" si="4"/>
        <v>-5975.4516100806304</v>
      </c>
      <c r="AN28" s="1">
        <f t="shared" si="5"/>
        <v>-19903.926402016154</v>
      </c>
      <c r="AP28" s="1">
        <v>23</v>
      </c>
      <c r="AQ28" s="7">
        <f t="shared" si="6"/>
        <v>-11800.869060891881</v>
      </c>
      <c r="AR28" s="7">
        <f t="shared" si="7"/>
        <v>-18629.32046677425</v>
      </c>
      <c r="AS28" s="7"/>
      <c r="AT28" s="7">
        <f t="shared" si="8"/>
        <v>616.27012762289098</v>
      </c>
      <c r="AU28" s="7">
        <f t="shared" si="9"/>
        <v>3858.9996761159136</v>
      </c>
      <c r="AV28" s="7"/>
      <c r="AX28" s="7">
        <f t="shared" si="10"/>
        <v>219.12434986171945</v>
      </c>
      <c r="AY28" s="7">
        <f t="shared" si="11"/>
        <v>180.04446194999207</v>
      </c>
      <c r="BB28" s="7">
        <f t="shared" si="12"/>
        <v>-51.432973639756526</v>
      </c>
      <c r="BC28" s="7">
        <f t="shared" si="13"/>
        <v>179.59111713514307</v>
      </c>
      <c r="BF28" s="7">
        <f t="shared" si="14"/>
        <v>1769.0224873635404</v>
      </c>
      <c r="BG28" s="7">
        <f t="shared" si="15"/>
        <v>944.04839471066248</v>
      </c>
      <c r="BI28" s="10">
        <f t="shared" si="16"/>
        <v>1936.7138635855035</v>
      </c>
      <c r="BJ28">
        <f t="shared" si="17"/>
        <v>1303.6839737957976</v>
      </c>
    </row>
    <row r="29" spans="4:62" ht="17.25" customHeight="1" x14ac:dyDescent="0.35">
      <c r="D29" s="88"/>
      <c r="E29" s="88"/>
      <c r="F29" s="88"/>
      <c r="G29" s="88"/>
      <c r="H29" s="88"/>
      <c r="I29" s="88"/>
      <c r="J29" s="88"/>
      <c r="K29" s="88"/>
      <c r="L29" s="78" t="s">
        <v>30</v>
      </c>
      <c r="M29" s="119"/>
      <c r="N29" s="119"/>
      <c r="O29" s="119"/>
      <c r="P29" s="119"/>
      <c r="Q29" s="120" t="s">
        <v>77</v>
      </c>
      <c r="R29" s="173" t="s">
        <v>38</v>
      </c>
      <c r="S29" s="174"/>
      <c r="T29" s="132" t="s">
        <v>35</v>
      </c>
      <c r="U29" s="133"/>
      <c r="V29" s="23"/>
      <c r="W29" s="23"/>
      <c r="X29" s="23"/>
      <c r="Y29" s="23"/>
      <c r="Z29" s="23"/>
      <c r="AA29" s="40"/>
      <c r="AF29" s="1">
        <v>22</v>
      </c>
      <c r="AG29" s="1">
        <f t="shared" si="18"/>
        <v>4.3196898986859678</v>
      </c>
      <c r="AH29" s="1"/>
      <c r="AI29" s="1">
        <f t="shared" si="0"/>
        <v>20000.000000000011</v>
      </c>
      <c r="AJ29" s="1">
        <f t="shared" si="1"/>
        <v>2500</v>
      </c>
      <c r="AK29" s="1">
        <f t="shared" si="2"/>
        <v>-19999.999999999993</v>
      </c>
      <c r="AL29" s="1">
        <f t="shared" si="3"/>
        <v>6500</v>
      </c>
      <c r="AM29" s="1">
        <f t="shared" si="4"/>
        <v>-4999.9999999999873</v>
      </c>
      <c r="AN29" s="1">
        <f t="shared" si="5"/>
        <v>-20000</v>
      </c>
      <c r="AP29" s="1">
        <v>24</v>
      </c>
      <c r="AQ29" s="7">
        <f t="shared" si="6"/>
        <v>-11250.644764132247</v>
      </c>
      <c r="AR29" s="7">
        <f t="shared" si="7"/>
        <v>-16536.86013199182</v>
      </c>
      <c r="AS29" s="7"/>
      <c r="AT29" s="7">
        <f t="shared" si="8"/>
        <v>1584.6270594156426</v>
      </c>
      <c r="AU29" s="7">
        <f t="shared" si="9"/>
        <v>4510.8416630138126</v>
      </c>
      <c r="AV29" s="7"/>
      <c r="AX29" s="7">
        <f t="shared" si="10"/>
        <v>243.16847967313581</v>
      </c>
      <c r="AY29" s="7">
        <f t="shared" si="11"/>
        <v>187.03635648250165</v>
      </c>
      <c r="BB29" s="7">
        <f t="shared" si="12"/>
        <v>-65.7420227338595</v>
      </c>
      <c r="BC29" s="7">
        <f t="shared" si="13"/>
        <v>199.39604862890556</v>
      </c>
      <c r="BF29" s="7">
        <f t="shared" si="14"/>
        <v>1945.8063545925679</v>
      </c>
      <c r="BG29" s="7">
        <f t="shared" si="15"/>
        <v>478.41979888370861</v>
      </c>
      <c r="BI29" s="10">
        <f t="shared" si="16"/>
        <v>2123.2328115318442</v>
      </c>
      <c r="BJ29">
        <f t="shared" si="17"/>
        <v>864.85220399511581</v>
      </c>
    </row>
    <row r="30" spans="4:62" x14ac:dyDescent="0.25">
      <c r="H30" s="1"/>
      <c r="I30" s="1"/>
      <c r="J30" s="1"/>
      <c r="K30" s="3"/>
      <c r="AF30" s="1">
        <v>23</v>
      </c>
      <c r="AG30" s="1">
        <f t="shared" si="18"/>
        <v>4.51603943953533</v>
      </c>
      <c r="AH30" s="1"/>
      <c r="AI30" s="1">
        <f t="shared" si="0"/>
        <v>20975.451610080654</v>
      </c>
      <c r="AJ30" s="1">
        <f t="shared" si="1"/>
        <v>2596.073597983851</v>
      </c>
      <c r="AK30" s="1">
        <f t="shared" si="2"/>
        <v>-19317.18387294354</v>
      </c>
      <c r="AL30" s="1">
        <f t="shared" si="3"/>
        <v>6567.251518588695</v>
      </c>
      <c r="AM30" s="1">
        <f t="shared" si="4"/>
        <v>-4024.5483899193455</v>
      </c>
      <c r="AN30" s="1">
        <f t="shared" si="5"/>
        <v>-19903.92640201615</v>
      </c>
      <c r="AP30" s="1">
        <v>25</v>
      </c>
      <c r="AQ30" s="7">
        <f t="shared" si="6"/>
        <v>-10192.927132982946</v>
      </c>
      <c r="AR30" s="7">
        <f t="shared" si="7"/>
        <v>-14173.332774985523</v>
      </c>
      <c r="AS30" s="7"/>
      <c r="AT30" s="7">
        <f t="shared" si="8"/>
        <v>2646.2434651815647</v>
      </c>
      <c r="AU30" s="7">
        <f t="shared" si="9"/>
        <v>4943.267765011371</v>
      </c>
      <c r="AV30" s="7"/>
      <c r="AX30" s="7">
        <f t="shared" si="10"/>
        <v>277.2802829167764</v>
      </c>
      <c r="AY30" s="7">
        <f t="shared" si="11"/>
        <v>199.03959020364462</v>
      </c>
      <c r="BB30" s="7">
        <f t="shared" si="12"/>
        <v>-89.385809070763102</v>
      </c>
      <c r="BC30" s="7">
        <f t="shared" si="13"/>
        <v>220.32597670359684</v>
      </c>
      <c r="BF30" s="7">
        <f t="shared" si="14"/>
        <v>1885.2991903732243</v>
      </c>
      <c r="BG30" s="7">
        <f t="shared" si="15"/>
        <v>-300.12264954170905</v>
      </c>
      <c r="BI30" s="10">
        <f t="shared" si="16"/>
        <v>2073.1936642192377</v>
      </c>
      <c r="BJ30">
        <f t="shared" si="17"/>
        <v>119.24291736553241</v>
      </c>
    </row>
    <row r="31" spans="4:62" ht="17.25" customHeight="1" x14ac:dyDescent="0.3">
      <c r="E31" s="73" t="s">
        <v>23</v>
      </c>
      <c r="F31" s="33"/>
      <c r="G31" s="33"/>
      <c r="H31" s="34"/>
      <c r="I31" s="34"/>
      <c r="J31" s="34"/>
      <c r="K31" s="35"/>
      <c r="L31" s="33"/>
      <c r="M31" s="33"/>
      <c r="N31" s="33"/>
      <c r="O31" s="33"/>
      <c r="P31" s="33"/>
      <c r="Q31" s="33"/>
      <c r="R31" s="33"/>
      <c r="S31" s="33"/>
      <c r="T31" s="36"/>
      <c r="U31" s="39"/>
      <c r="AF31" s="1">
        <v>24</v>
      </c>
      <c r="AG31" s="1">
        <f t="shared" si="18"/>
        <v>4.7123889803846923</v>
      </c>
      <c r="AH31" s="1"/>
      <c r="AI31" s="1">
        <f t="shared" si="0"/>
        <v>21913.417161825462</v>
      </c>
      <c r="AJ31" s="1">
        <f t="shared" si="1"/>
        <v>2880.6023374435717</v>
      </c>
      <c r="AK31" s="1">
        <f t="shared" si="2"/>
        <v>-18660.607986722178</v>
      </c>
      <c r="AL31" s="1">
        <f t="shared" si="3"/>
        <v>6766.4216362104999</v>
      </c>
      <c r="AM31" s="1">
        <f t="shared" si="4"/>
        <v>-3086.5828381745378</v>
      </c>
      <c r="AN31" s="1">
        <f t="shared" si="5"/>
        <v>-19619.397662556428</v>
      </c>
      <c r="AP31" s="1">
        <v>26</v>
      </c>
      <c r="AQ31" s="7">
        <f t="shared" si="6"/>
        <v>-8610.6561923647605</v>
      </c>
      <c r="AR31" s="7">
        <f t="shared" si="7"/>
        <v>-11686.793527809148</v>
      </c>
      <c r="AS31" s="7"/>
      <c r="AT31" s="7">
        <f t="shared" si="8"/>
        <v>3682.8402972911836</v>
      </c>
      <c r="AU31" s="7">
        <f t="shared" si="9"/>
        <v>5002.8892236941374</v>
      </c>
      <c r="AV31" s="7"/>
      <c r="AX31" s="7">
        <f t="shared" si="10"/>
        <v>324.57056064158644</v>
      </c>
      <c r="AY31" s="7">
        <f t="shared" si="11"/>
        <v>217.6625481906033</v>
      </c>
      <c r="BB31" s="7">
        <f t="shared" si="12"/>
        <v>-123.70581268623698</v>
      </c>
      <c r="BC31" s="7">
        <f t="shared" si="13"/>
        <v>235.55197412846198</v>
      </c>
      <c r="BF31" s="7">
        <f t="shared" si="14"/>
        <v>1368.9190428178852</v>
      </c>
      <c r="BG31" s="7">
        <f t="shared" si="15"/>
        <v>-1256.1460274618498</v>
      </c>
      <c r="BI31" s="10">
        <f t="shared" si="16"/>
        <v>1569.7837907732346</v>
      </c>
      <c r="BJ31">
        <f t="shared" si="17"/>
        <v>-802.93150514278454</v>
      </c>
    </row>
    <row r="32" spans="4:62" ht="17.25" customHeight="1" x14ac:dyDescent="0.35">
      <c r="E32" s="88"/>
      <c r="F32" s="80" t="s">
        <v>17</v>
      </c>
      <c r="G32" s="98"/>
      <c r="H32" s="99" t="s">
        <v>64</v>
      </c>
      <c r="I32" s="98"/>
      <c r="J32" s="98"/>
      <c r="K32" s="98"/>
      <c r="L32" s="98"/>
      <c r="M32" s="98"/>
      <c r="N32" s="98"/>
      <c r="O32" s="98"/>
      <c r="P32" s="98"/>
      <c r="Q32" s="98"/>
      <c r="R32" s="100">
        <v>-20000</v>
      </c>
      <c r="S32" s="101">
        <v>10000</v>
      </c>
      <c r="T32" s="161" t="s">
        <v>32</v>
      </c>
      <c r="U32" s="162"/>
      <c r="V32" s="87"/>
      <c r="W32" s="11"/>
      <c r="X32" s="11"/>
      <c r="Y32" s="11"/>
      <c r="Z32" s="11"/>
      <c r="AF32" s="1">
        <v>25</v>
      </c>
      <c r="AG32" s="1">
        <f t="shared" si="18"/>
        <v>4.9087385212340546</v>
      </c>
      <c r="AH32" s="1"/>
      <c r="AI32" s="1">
        <f t="shared" si="0"/>
        <v>22777.851165098025</v>
      </c>
      <c r="AJ32" s="1">
        <f t="shared" si="1"/>
        <v>3342.6519384872827</v>
      </c>
      <c r="AK32" s="1">
        <f t="shared" si="2"/>
        <v>-18055.504184431382</v>
      </c>
      <c r="AL32" s="1">
        <f t="shared" si="3"/>
        <v>7089.8563569410981</v>
      </c>
      <c r="AM32" s="1">
        <f t="shared" si="4"/>
        <v>-2222.148834901976</v>
      </c>
      <c r="AN32" s="1">
        <f t="shared" si="5"/>
        <v>-19157.348061512719</v>
      </c>
      <c r="AP32" s="1">
        <v>27</v>
      </c>
      <c r="AQ32" s="7">
        <f t="shared" si="6"/>
        <v>-6573.0130698725152</v>
      </c>
      <c r="AR32" s="7">
        <f t="shared" si="7"/>
        <v>-9285.7153541049283</v>
      </c>
      <c r="AS32" s="7"/>
      <c r="AT32" s="7">
        <f t="shared" si="8"/>
        <v>4467.7321926778004</v>
      </c>
      <c r="AU32" s="7">
        <f t="shared" si="9"/>
        <v>4601.4234711227455</v>
      </c>
      <c r="AV32" s="7"/>
      <c r="AX32" s="7">
        <f t="shared" si="10"/>
        <v>387.76158564583562</v>
      </c>
      <c r="AY32" s="7">
        <f t="shared" si="11"/>
        <v>244.94232493668065</v>
      </c>
      <c r="BB32" s="7">
        <f t="shared" si="12"/>
        <v>-163.57546044041356</v>
      </c>
      <c r="BC32" s="7">
        <f t="shared" si="13"/>
        <v>234.94993965414656</v>
      </c>
      <c r="BF32" s="7">
        <f t="shared" si="14"/>
        <v>524.34330889007219</v>
      </c>
      <c r="BG32" s="7">
        <f t="shared" si="15"/>
        <v>-1904.7819605282664</v>
      </c>
      <c r="BI32" s="10">
        <f t="shared" si="16"/>
        <v>748.52943409549425</v>
      </c>
      <c r="BJ32">
        <f t="shared" si="17"/>
        <v>-1424.889695937439</v>
      </c>
    </row>
    <row r="33" spans="5:62" ht="17.25" customHeight="1" x14ac:dyDescent="0.35">
      <c r="E33" s="88"/>
      <c r="F33" s="88"/>
      <c r="G33" s="80" t="s">
        <v>18</v>
      </c>
      <c r="H33" s="98"/>
      <c r="I33" s="102" t="s">
        <v>65</v>
      </c>
      <c r="J33" s="98"/>
      <c r="K33" s="98"/>
      <c r="L33" s="98"/>
      <c r="M33" s="98"/>
      <c r="N33" s="98"/>
      <c r="O33" s="98"/>
      <c r="P33" s="98"/>
      <c r="Q33" s="98"/>
      <c r="R33" s="171">
        <v>3500</v>
      </c>
      <c r="S33" s="172"/>
      <c r="T33" s="168" t="s">
        <v>32</v>
      </c>
      <c r="U33" s="168"/>
      <c r="V33" s="101"/>
      <c r="W33" s="11"/>
      <c r="X33" s="11"/>
      <c r="Y33" s="11"/>
      <c r="Z33" s="11"/>
      <c r="AF33" s="1">
        <v>26</v>
      </c>
      <c r="AG33" s="1">
        <f t="shared" si="18"/>
        <v>5.1050880620834169</v>
      </c>
      <c r="AH33" s="1"/>
      <c r="AI33" s="1">
        <f t="shared" si="0"/>
        <v>23535.533905932749</v>
      </c>
      <c r="AJ33" s="1">
        <f t="shared" si="1"/>
        <v>3964.4660940672743</v>
      </c>
      <c r="AK33" s="1">
        <f t="shared" si="2"/>
        <v>-17525.126265847077</v>
      </c>
      <c r="AL33" s="1">
        <f t="shared" si="3"/>
        <v>7525.1262658470914</v>
      </c>
      <c r="AM33" s="1">
        <f t="shared" si="4"/>
        <v>-1464.4660940672507</v>
      </c>
      <c r="AN33" s="1">
        <f t="shared" si="5"/>
        <v>-18535.533905932727</v>
      </c>
      <c r="AP33" s="1">
        <v>28</v>
      </c>
      <c r="AQ33" s="7">
        <f t="shared" si="6"/>
        <v>-4245.5807942716783</v>
      </c>
      <c r="AR33" s="7">
        <f t="shared" si="7"/>
        <v>-7163.1148305357356</v>
      </c>
      <c r="AS33" s="7"/>
      <c r="AT33" s="7">
        <f t="shared" si="8"/>
        <v>4841.9969097255471</v>
      </c>
      <c r="AU33" s="7">
        <f t="shared" si="9"/>
        <v>3888.9786231540261</v>
      </c>
      <c r="AV33" s="7"/>
      <c r="AX33" s="7">
        <f t="shared" si="10"/>
        <v>467.95502276291404</v>
      </c>
      <c r="AY33" s="7">
        <f t="shared" si="11"/>
        <v>283.00737740709144</v>
      </c>
      <c r="BB33" s="7">
        <f t="shared" si="12"/>
        <v>-196.54457476120615</v>
      </c>
      <c r="BC33" s="7">
        <f t="shared" si="13"/>
        <v>214.11878545918441</v>
      </c>
      <c r="BF33" s="7">
        <f t="shared" si="14"/>
        <v>-191.59998384942415</v>
      </c>
      <c r="BG33" s="7">
        <f t="shared" si="15"/>
        <v>-1990.3351618011109</v>
      </c>
      <c r="BI33" s="10">
        <f t="shared" si="16"/>
        <v>79.810464152283771</v>
      </c>
      <c r="BJ33">
        <f t="shared" si="17"/>
        <v>-1493.2089989348351</v>
      </c>
    </row>
    <row r="34" spans="5:62" ht="17.25" customHeight="1" x14ac:dyDescent="0.35">
      <c r="E34" s="88"/>
      <c r="F34" s="88"/>
      <c r="G34" s="88"/>
      <c r="H34" s="80" t="s">
        <v>24</v>
      </c>
      <c r="I34" s="98"/>
      <c r="J34" s="98"/>
      <c r="K34" s="98"/>
      <c r="L34" s="98"/>
      <c r="M34" s="104" t="s">
        <v>66</v>
      </c>
      <c r="N34" s="98"/>
      <c r="O34" s="123"/>
      <c r="P34" s="98"/>
      <c r="Q34" s="98"/>
      <c r="R34" s="171">
        <v>1</v>
      </c>
      <c r="S34" s="172"/>
      <c r="T34" s="103" t="s">
        <v>58</v>
      </c>
      <c r="U34" s="104"/>
      <c r="V34" s="105"/>
      <c r="W34" s="30"/>
      <c r="X34" s="11"/>
      <c r="Y34" s="11"/>
      <c r="Z34" s="11"/>
      <c r="AF34" s="1">
        <v>27</v>
      </c>
      <c r="AG34" s="1">
        <f t="shared" si="18"/>
        <v>5.3014376029327792</v>
      </c>
      <c r="AH34" s="1"/>
      <c r="AI34" s="1">
        <f t="shared" si="0"/>
        <v>24157.348061512737</v>
      </c>
      <c r="AJ34" s="1">
        <f t="shared" si="1"/>
        <v>4722.1488349020037</v>
      </c>
      <c r="AK34" s="1">
        <f t="shared" si="2"/>
        <v>-17089.856356941084</v>
      </c>
      <c r="AL34" s="1">
        <f t="shared" si="3"/>
        <v>8055.5041844314028</v>
      </c>
      <c r="AM34" s="1">
        <f t="shared" si="4"/>
        <v>-842.65193848726358</v>
      </c>
      <c r="AN34" s="1">
        <f t="shared" si="5"/>
        <v>-17777.851165097996</v>
      </c>
      <c r="AP34" s="1">
        <v>29</v>
      </c>
      <c r="AQ34" s="7">
        <f t="shared" si="6"/>
        <v>-1814.6060313898693</v>
      </c>
      <c r="AR34" s="7">
        <f t="shared" si="7"/>
        <v>-5405.2766438255767</v>
      </c>
      <c r="AS34" s="7"/>
      <c r="AT34" s="7">
        <f t="shared" si="8"/>
        <v>4881.9021418016891</v>
      </c>
      <c r="AU34" s="7">
        <f t="shared" si="9"/>
        <v>3142.3741236866085</v>
      </c>
      <c r="AV34" s="7"/>
      <c r="AX34" s="7">
        <f t="shared" si="10"/>
        <v>564.63616719073354</v>
      </c>
      <c r="AY34" s="7">
        <f t="shared" si="11"/>
        <v>334.03243360070462</v>
      </c>
      <c r="BB34" s="7">
        <f t="shared" si="12"/>
        <v>-213.08597829159854</v>
      </c>
      <c r="BC34" s="7">
        <f t="shared" si="13"/>
        <v>180.51016382534672</v>
      </c>
      <c r="BF34" s="7">
        <f t="shared" si="14"/>
        <v>-580.05942421001691</v>
      </c>
      <c r="BG34" s="7">
        <f t="shared" si="15"/>
        <v>-1747.1966608467312</v>
      </c>
      <c r="BI34" s="10">
        <f t="shared" si="16"/>
        <v>-228.50923531088188</v>
      </c>
      <c r="BJ34">
        <f t="shared" si="17"/>
        <v>-1232.6540634206799</v>
      </c>
    </row>
    <row r="35" spans="5:62" ht="17.25" customHeight="1" x14ac:dyDescent="0.35">
      <c r="E35" s="88"/>
      <c r="F35" s="92"/>
      <c r="G35" s="92"/>
      <c r="H35" s="88"/>
      <c r="I35" s="81" t="s">
        <v>20</v>
      </c>
      <c r="J35" s="98"/>
      <c r="K35" s="107" t="s">
        <v>67</v>
      </c>
      <c r="L35" s="98"/>
      <c r="M35" s="98"/>
      <c r="N35" s="98"/>
      <c r="O35" s="98"/>
      <c r="P35" s="98"/>
      <c r="Q35" s="98"/>
      <c r="R35" s="181">
        <f>(4/3)*PI()*R33^3</f>
        <v>179594380030.21649</v>
      </c>
      <c r="S35" s="182"/>
      <c r="T35" s="170" t="s">
        <v>60</v>
      </c>
      <c r="U35" s="170"/>
      <c r="V35" s="106"/>
      <c r="W35" s="41"/>
      <c r="X35" s="31"/>
      <c r="Y35" s="6"/>
      <c r="Z35" s="6"/>
      <c r="AF35" s="1">
        <v>28</v>
      </c>
      <c r="AG35" s="1">
        <f t="shared" si="18"/>
        <v>5.4977871437821415</v>
      </c>
      <c r="AH35" s="1"/>
      <c r="AI35" s="1">
        <f t="shared" si="0"/>
        <v>24619.397662556439</v>
      </c>
      <c r="AJ35" s="1">
        <f t="shared" si="1"/>
        <v>5586.5828381745687</v>
      </c>
      <c r="AK35" s="1">
        <f t="shared" si="2"/>
        <v>-16766.421636210493</v>
      </c>
      <c r="AL35" s="1">
        <f t="shared" si="3"/>
        <v>8660.6079867221979</v>
      </c>
      <c r="AM35" s="1">
        <f t="shared" si="4"/>
        <v>-380.60233744355901</v>
      </c>
      <c r="AN35" s="1">
        <f t="shared" si="5"/>
        <v>-16913.417161825433</v>
      </c>
      <c r="AP35" s="1">
        <v>30</v>
      </c>
      <c r="AQ35" s="7">
        <f t="shared" si="6"/>
        <v>597.78138509711505</v>
      </c>
      <c r="AR35" s="7">
        <f t="shared" si="7"/>
        <v>-3988.1713399098576</v>
      </c>
      <c r="AS35" s="7"/>
      <c r="AT35" s="7">
        <f t="shared" si="8"/>
        <v>4767.6475241462485</v>
      </c>
      <c r="AU35" s="7">
        <f t="shared" si="9"/>
        <v>2526.0470919762683</v>
      </c>
      <c r="AV35" s="7"/>
      <c r="AX35" s="7">
        <f t="shared" si="10"/>
        <v>676.92465261180166</v>
      </c>
      <c r="AY35" s="7">
        <f t="shared" si="11"/>
        <v>400.81119318179901</v>
      </c>
      <c r="BB35" s="7">
        <f t="shared" si="12"/>
        <v>-213.81335989715146</v>
      </c>
      <c r="BC35" s="7">
        <f t="shared" si="13"/>
        <v>145.20291564833812</v>
      </c>
      <c r="BF35" s="7">
        <f t="shared" si="14"/>
        <v>-730.08944968947799</v>
      </c>
      <c r="BG35" s="7">
        <f t="shared" si="15"/>
        <v>-1436.215417044293</v>
      </c>
      <c r="BI35" s="10">
        <f t="shared" si="16"/>
        <v>-266.97815697482781</v>
      </c>
      <c r="BJ35">
        <f t="shared" si="17"/>
        <v>-890.2013082141558</v>
      </c>
    </row>
    <row r="36" spans="5:62" ht="17.25" customHeight="1" x14ac:dyDescent="0.35">
      <c r="E36" s="88"/>
      <c r="F36" s="92"/>
      <c r="G36" s="92"/>
      <c r="H36" s="88"/>
      <c r="I36" s="88"/>
      <c r="J36" s="81" t="s">
        <v>21</v>
      </c>
      <c r="K36" s="98"/>
      <c r="L36" s="98"/>
      <c r="M36" s="107" t="s">
        <v>68</v>
      </c>
      <c r="N36" s="123"/>
      <c r="O36" s="98"/>
      <c r="P36" s="98"/>
      <c r="Q36" s="98"/>
      <c r="R36" s="181">
        <f>R35*R34</f>
        <v>179594380030.21649</v>
      </c>
      <c r="S36" s="182"/>
      <c r="T36" s="170" t="s">
        <v>31</v>
      </c>
      <c r="U36" s="170"/>
      <c r="V36" s="106"/>
      <c r="W36" s="29"/>
      <c r="X36" s="41"/>
      <c r="Y36" s="31"/>
      <c r="Z36" s="6"/>
      <c r="AF36" s="1">
        <v>29</v>
      </c>
      <c r="AG36" s="1">
        <f t="shared" si="18"/>
        <v>5.6941366846315038</v>
      </c>
      <c r="AH36" s="1"/>
      <c r="AI36" s="1">
        <f t="shared" si="0"/>
        <v>24903.926402016157</v>
      </c>
      <c r="AJ36" s="1">
        <f t="shared" si="1"/>
        <v>6524.5483899193787</v>
      </c>
      <c r="AK36" s="1">
        <f t="shared" si="2"/>
        <v>-16567.251518588691</v>
      </c>
      <c r="AL36" s="1">
        <f t="shared" si="3"/>
        <v>9317.183872943564</v>
      </c>
      <c r="AM36" s="1">
        <f t="shared" si="4"/>
        <v>-96.073597983843683</v>
      </c>
      <c r="AN36" s="1">
        <f t="shared" si="5"/>
        <v>-15975.451610080621</v>
      </c>
      <c r="AP36" s="1">
        <v>31</v>
      </c>
      <c r="AQ36" s="7">
        <f t="shared" si="6"/>
        <v>2948.2328775483861</v>
      </c>
      <c r="AR36" s="7">
        <f t="shared" si="7"/>
        <v>-2836.422957448493</v>
      </c>
      <c r="AS36" s="7"/>
      <c r="AT36" s="7">
        <f t="shared" si="8"/>
        <v>4634.1584456588344</v>
      </c>
      <c r="AU36" s="7">
        <f t="shared" si="9"/>
        <v>2080.9464378691905</v>
      </c>
      <c r="AV36" s="7"/>
      <c r="AX36" s="7">
        <f t="shared" si="10"/>
        <v>804.34375684142094</v>
      </c>
      <c r="AY36" s="7">
        <f t="shared" si="11"/>
        <v>487.57628544839542</v>
      </c>
      <c r="BB36" s="7">
        <f t="shared" si="12"/>
        <v>-204.57221429083273</v>
      </c>
      <c r="BC36" s="7">
        <f t="shared" si="13"/>
        <v>114.43040002213263</v>
      </c>
      <c r="BF36" s="7">
        <f t="shared" si="14"/>
        <v>-758.33766595026816</v>
      </c>
      <c r="BG36" s="7">
        <f t="shared" si="15"/>
        <v>-1160.5219381669563</v>
      </c>
      <c r="BI36" s="10">
        <f t="shared" si="16"/>
        <v>-158.5661233996799</v>
      </c>
      <c r="BJ36">
        <f t="shared" si="17"/>
        <v>-558.51525269642809</v>
      </c>
    </row>
    <row r="37" spans="5:62" ht="17.25" customHeight="1" x14ac:dyDescent="0.35">
      <c r="E37" s="88"/>
      <c r="F37" s="92"/>
      <c r="G37" s="92"/>
      <c r="H37" s="88"/>
      <c r="I37" s="88"/>
      <c r="J37" s="88"/>
      <c r="K37" s="81" t="s">
        <v>22</v>
      </c>
      <c r="L37" s="98"/>
      <c r="M37" s="98"/>
      <c r="N37" s="98"/>
      <c r="O37" s="98"/>
      <c r="P37" s="107" t="s">
        <v>69</v>
      </c>
      <c r="Q37" s="98"/>
      <c r="R37" s="181">
        <f>R33*R9</f>
        <v>7000</v>
      </c>
      <c r="S37" s="182"/>
      <c r="T37" s="170" t="s">
        <v>32</v>
      </c>
      <c r="U37" s="170"/>
      <c r="V37" s="106"/>
      <c r="W37" s="29"/>
      <c r="X37" s="29"/>
      <c r="Y37" s="41"/>
      <c r="Z37" s="31"/>
      <c r="AF37" s="1">
        <v>30</v>
      </c>
      <c r="AG37" s="1">
        <f t="shared" si="18"/>
        <v>5.8904862254808661</v>
      </c>
      <c r="AH37" s="1"/>
      <c r="AI37" s="1">
        <f t="shared" si="0"/>
        <v>25000</v>
      </c>
      <c r="AJ37" s="1">
        <f t="shared" si="1"/>
        <v>7500.0000000000209</v>
      </c>
      <c r="AK37" s="1">
        <f t="shared" si="2"/>
        <v>-16500</v>
      </c>
      <c r="AL37" s="1">
        <f t="shared" si="3"/>
        <v>10000.000000000015</v>
      </c>
      <c r="AM37" s="1">
        <f t="shared" si="4"/>
        <v>0</v>
      </c>
      <c r="AN37" s="1">
        <f t="shared" si="5"/>
        <v>-14999.999999999978</v>
      </c>
      <c r="AP37" s="1">
        <v>32</v>
      </c>
      <c r="AQ37" s="7">
        <f t="shared" si="6"/>
        <v>5245.4913349528433</v>
      </c>
      <c r="AR37" s="7">
        <f t="shared" si="7"/>
        <v>-1865.7641451009513</v>
      </c>
      <c r="AS37" s="7"/>
      <c r="AT37" s="7">
        <f t="shared" si="8"/>
        <v>4554.8753839589945</v>
      </c>
      <c r="AU37" s="7">
        <f t="shared" si="9"/>
        <v>1801.6888115209765</v>
      </c>
      <c r="AV37" s="7"/>
      <c r="AX37" s="7">
        <f t="shared" si="10"/>
        <v>946.40443165068666</v>
      </c>
      <c r="AY37" s="7">
        <f t="shared" si="11"/>
        <v>600.75200699272591</v>
      </c>
      <c r="BB37" s="7">
        <f t="shared" si="12"/>
        <v>-190.5965222573675</v>
      </c>
      <c r="BC37" s="7">
        <f t="shared" si="13"/>
        <v>89.583258649088634</v>
      </c>
      <c r="BF37" s="7">
        <f t="shared" si="14"/>
        <v>-731.46495436423356</v>
      </c>
      <c r="BG37" s="7">
        <f t="shared" si="15"/>
        <v>-937.70351427045853</v>
      </c>
      <c r="BI37" s="10">
        <f t="shared" si="16"/>
        <v>24.342955029085601</v>
      </c>
      <c r="BJ37">
        <f t="shared" si="17"/>
        <v>-247.36824862864398</v>
      </c>
    </row>
    <row r="38" spans="5:62" ht="17.25" customHeight="1" x14ac:dyDescent="0.35">
      <c r="E38" s="88"/>
      <c r="F38" s="88"/>
      <c r="G38" s="88"/>
      <c r="H38" s="88"/>
      <c r="I38" s="88"/>
      <c r="J38" s="88"/>
      <c r="K38" s="88"/>
      <c r="L38" s="80" t="s">
        <v>30</v>
      </c>
      <c r="M38" s="108"/>
      <c r="N38" s="108"/>
      <c r="O38" s="108"/>
      <c r="P38" s="108"/>
      <c r="Q38" s="109" t="s">
        <v>70</v>
      </c>
      <c r="R38" s="179" t="s">
        <v>38</v>
      </c>
      <c r="S38" s="180"/>
      <c r="T38" s="169" t="s">
        <v>35</v>
      </c>
      <c r="U38" s="169"/>
      <c r="V38" s="110"/>
      <c r="W38" s="32"/>
      <c r="X38" s="32"/>
      <c r="Y38" s="32"/>
      <c r="Z38" s="32"/>
      <c r="AA38" s="42"/>
      <c r="AF38" s="1">
        <v>31</v>
      </c>
      <c r="AG38" s="1">
        <f t="shared" si="18"/>
        <v>6.0868357663302284</v>
      </c>
      <c r="AP38" s="1">
        <v>33</v>
      </c>
      <c r="AQ38" s="7">
        <f t="shared" si="6"/>
        <v>7525.9718963109763</v>
      </c>
      <c r="AR38" s="7">
        <f t="shared" si="7"/>
        <v>-995.84077041904357</v>
      </c>
      <c r="AS38" s="7"/>
      <c r="AT38" s="7">
        <f t="shared" si="8"/>
        <v>4567.0468614735373</v>
      </c>
      <c r="AU38" s="7">
        <f t="shared" si="9"/>
        <v>1678.0046872066546</v>
      </c>
      <c r="AV38" s="7"/>
      <c r="AX38" s="7">
        <f t="shared" si="10"/>
        <v>1100.602000121642</v>
      </c>
      <c r="AY38" s="7">
        <f t="shared" si="11"/>
        <v>749.60063156125943</v>
      </c>
      <c r="BB38" s="7">
        <f t="shared" si="12"/>
        <v>-174.98586661727859</v>
      </c>
      <c r="BC38" s="7">
        <f t="shared" si="13"/>
        <v>69.901863361825562</v>
      </c>
      <c r="BF38" s="7">
        <f t="shared" si="14"/>
        <v>-680.20387221972476</v>
      </c>
      <c r="BG38" s="7">
        <f t="shared" si="15"/>
        <v>-760.47458943668664</v>
      </c>
      <c r="BI38" s="10">
        <f t="shared" si="16"/>
        <v>245.4122612846387</v>
      </c>
      <c r="BJ38">
        <f t="shared" si="17"/>
        <v>59.027905486398367</v>
      </c>
    </row>
    <row r="39" spans="5:62" x14ac:dyDescent="0.25">
      <c r="H39" s="1"/>
      <c r="I39" s="1"/>
      <c r="J39" s="1"/>
      <c r="K39" s="3"/>
      <c r="AF39" s="1">
        <v>32</v>
      </c>
      <c r="AG39" s="1">
        <f t="shared" si="18"/>
        <v>6.2831853071795907</v>
      </c>
      <c r="AP39" s="1">
        <v>34</v>
      </c>
      <c r="AQ39" s="7">
        <f t="shared" si="6"/>
        <v>9840.1718597083254</v>
      </c>
      <c r="AR39" s="7">
        <f t="shared" si="7"/>
        <v>-149.45993862991648</v>
      </c>
      <c r="AS39" s="7"/>
      <c r="AT39" s="7">
        <f t="shared" si="8"/>
        <v>4689.7529921158566</v>
      </c>
      <c r="AU39" s="7">
        <f t="shared" si="9"/>
        <v>1707.5186399498539</v>
      </c>
      <c r="AV39" s="7"/>
      <c r="AX39" s="7">
        <f t="shared" si="10"/>
        <v>1256.2871954979089</v>
      </c>
      <c r="AY39" s="7">
        <f t="shared" si="11"/>
        <v>945.87412706954467</v>
      </c>
      <c r="BB39" s="7">
        <f t="shared" si="12"/>
        <v>-159.22558040428979</v>
      </c>
      <c r="BC39" s="7">
        <f t="shared" si="13"/>
        <v>54.156981974373657</v>
      </c>
      <c r="BF39" s="7">
        <f t="shared" si="14"/>
        <v>-617.90197222064762</v>
      </c>
      <c r="BG39" s="7">
        <f t="shared" si="15"/>
        <v>-618.3336742464561</v>
      </c>
      <c r="BI39" s="10">
        <f t="shared" si="16"/>
        <v>479.15964287297152</v>
      </c>
      <c r="BJ39">
        <f t="shared" si="17"/>
        <v>381.69743479746228</v>
      </c>
    </row>
    <row r="40" spans="5:62" ht="17.25" customHeight="1" x14ac:dyDescent="0.3">
      <c r="E40" s="74" t="s">
        <v>25</v>
      </c>
      <c r="F40" s="47"/>
      <c r="G40" s="47"/>
      <c r="H40" s="48"/>
      <c r="I40" s="48"/>
      <c r="J40" s="48"/>
      <c r="K40" s="49"/>
      <c r="L40" s="47"/>
      <c r="M40" s="47"/>
      <c r="N40" s="47"/>
      <c r="O40" s="47"/>
      <c r="P40" s="47"/>
      <c r="Q40" s="47"/>
      <c r="R40" s="47"/>
      <c r="S40" s="47"/>
      <c r="T40" s="50"/>
      <c r="AP40" s="1">
        <v>35</v>
      </c>
      <c r="AQ40" s="7">
        <f t="shared" si="6"/>
        <v>12244.943311125375</v>
      </c>
      <c r="AR40" s="7">
        <f t="shared" si="7"/>
        <v>752.01156069469323</v>
      </c>
      <c r="AS40" s="7"/>
      <c r="AT40" s="7">
        <f t="shared" si="8"/>
        <v>4929.3328135523425</v>
      </c>
      <c r="AU40" s="7">
        <f t="shared" si="9"/>
        <v>1898.3673573485851</v>
      </c>
      <c r="AV40" s="7"/>
      <c r="AX40" s="7">
        <f t="shared" si="10"/>
        <v>1376.5987598174588</v>
      </c>
      <c r="AY40" s="7">
        <f t="shared" si="11"/>
        <v>1197.8342505395981</v>
      </c>
      <c r="BB40" s="7">
        <f t="shared" si="12"/>
        <v>-143.91532361150996</v>
      </c>
      <c r="BC40" s="7">
        <f t="shared" si="13"/>
        <v>41.275533845919973</v>
      </c>
      <c r="BF40" s="7">
        <f t="shared" si="14"/>
        <v>-550.55657976723114</v>
      </c>
      <c r="BG40" s="7">
        <f t="shared" si="15"/>
        <v>-502.89371515156404</v>
      </c>
      <c r="BI40" s="10">
        <f t="shared" si="16"/>
        <v>682.12685643871771</v>
      </c>
      <c r="BJ40">
        <f t="shared" si="17"/>
        <v>736.21606923395404</v>
      </c>
    </row>
    <row r="41" spans="5:62" ht="17.25" customHeight="1" x14ac:dyDescent="0.35">
      <c r="F41" s="82" t="s">
        <v>17</v>
      </c>
      <c r="G41" s="83"/>
      <c r="H41" s="84" t="s">
        <v>55</v>
      </c>
      <c r="I41" s="83"/>
      <c r="J41" s="83"/>
      <c r="K41" s="83"/>
      <c r="L41" s="83"/>
      <c r="M41" s="83"/>
      <c r="N41" s="83"/>
      <c r="O41" s="83"/>
      <c r="P41" s="83"/>
      <c r="Q41" s="83"/>
      <c r="R41" s="85">
        <v>-5000</v>
      </c>
      <c r="S41" s="86">
        <v>-15000</v>
      </c>
      <c r="T41" s="166" t="s">
        <v>32</v>
      </c>
      <c r="U41" s="167"/>
      <c r="V41" s="87"/>
      <c r="W41" s="87"/>
      <c r="X41" s="11"/>
      <c r="Y41" s="11"/>
      <c r="Z41" s="11"/>
      <c r="AP41" s="1">
        <v>36</v>
      </c>
      <c r="AQ41" s="7">
        <f t="shared" si="6"/>
        <v>14794.875574956384</v>
      </c>
      <c r="AR41" s="7">
        <f t="shared" si="7"/>
        <v>1793.2222480232301</v>
      </c>
      <c r="AS41" s="7"/>
      <c r="AT41" s="7">
        <f t="shared" si="8"/>
        <v>5270.3962417717012</v>
      </c>
      <c r="AU41" s="7">
        <f t="shared" si="9"/>
        <v>2266.4753919655623</v>
      </c>
      <c r="AV41" s="7"/>
      <c r="AX41" s="7">
        <f t="shared" si="10"/>
        <v>1350.9303831870391</v>
      </c>
      <c r="AY41" s="7">
        <f t="shared" si="11"/>
        <v>1481.1287542231321</v>
      </c>
      <c r="BB41" s="7">
        <f t="shared" si="12"/>
        <v>-129.26610902667733</v>
      </c>
      <c r="BC41" s="7">
        <f t="shared" si="13"/>
        <v>30.488921432105702</v>
      </c>
      <c r="BF41" s="7">
        <f t="shared" si="14"/>
        <v>-481.46720733390413</v>
      </c>
      <c r="BG41" s="7">
        <f t="shared" si="15"/>
        <v>-408.45853197090111</v>
      </c>
      <c r="BI41" s="10">
        <f t="shared" si="16"/>
        <v>740.19706682645756</v>
      </c>
      <c r="BJ41">
        <f t="shared" si="17"/>
        <v>1103.1591436843366</v>
      </c>
    </row>
    <row r="42" spans="5:62" ht="17.25" customHeight="1" x14ac:dyDescent="0.35">
      <c r="F42" s="88"/>
      <c r="G42" s="82" t="s">
        <v>18</v>
      </c>
      <c r="H42" s="83"/>
      <c r="I42" s="89" t="s">
        <v>56</v>
      </c>
      <c r="J42" s="83"/>
      <c r="K42" s="83"/>
      <c r="L42" s="83"/>
      <c r="M42" s="83"/>
      <c r="N42" s="83"/>
      <c r="O42" s="83"/>
      <c r="P42" s="83"/>
      <c r="Q42" s="83"/>
      <c r="R42" s="177">
        <v>5000</v>
      </c>
      <c r="S42" s="178"/>
      <c r="T42" s="165" t="s">
        <v>32</v>
      </c>
      <c r="U42" s="165"/>
      <c r="V42" s="86"/>
      <c r="W42" s="87"/>
      <c r="X42" s="11"/>
      <c r="Y42" s="11"/>
      <c r="Z42" s="11"/>
      <c r="AP42" s="1">
        <v>37</v>
      </c>
      <c r="AQ42" s="7">
        <f t="shared" si="6"/>
        <v>17522.598329195542</v>
      </c>
      <c r="AR42" s="7">
        <f t="shared" si="7"/>
        <v>3064.3548369665532</v>
      </c>
      <c r="AS42" s="7"/>
      <c r="AT42" s="7">
        <f t="shared" si="8"/>
        <v>5640.4947751849304</v>
      </c>
      <c r="AU42" s="7">
        <f t="shared" si="9"/>
        <v>2818.0549638077305</v>
      </c>
      <c r="AV42" s="7"/>
      <c r="AX42" s="7">
        <f t="shared" si="10"/>
        <v>919.19897357016873</v>
      </c>
      <c r="AY42" s="7">
        <f t="shared" si="11"/>
        <v>1645.772879315881</v>
      </c>
      <c r="BB42" s="7">
        <f t="shared" si="12"/>
        <v>-115.41436812639698</v>
      </c>
      <c r="BC42" s="7">
        <f t="shared" si="13"/>
        <v>21.333093647130923</v>
      </c>
      <c r="BF42" s="7">
        <f t="shared" si="14"/>
        <v>-413.41285583638415</v>
      </c>
      <c r="BG42" s="7">
        <f t="shared" si="15"/>
        <v>-331.57970554007937</v>
      </c>
      <c r="BI42" s="10">
        <f t="shared" si="16"/>
        <v>390.37174960738764</v>
      </c>
      <c r="BJ42">
        <f t="shared" si="17"/>
        <v>1335.5262674229325</v>
      </c>
    </row>
    <row r="43" spans="5:62" ht="17.25" customHeight="1" x14ac:dyDescent="0.35">
      <c r="F43" s="88"/>
      <c r="G43" s="88"/>
      <c r="H43" s="82" t="s">
        <v>24</v>
      </c>
      <c r="I43" s="83"/>
      <c r="J43" s="83"/>
      <c r="K43" s="83"/>
      <c r="L43" s="83"/>
      <c r="M43" s="91" t="s">
        <v>57</v>
      </c>
      <c r="N43" s="83"/>
      <c r="O43" s="124"/>
      <c r="P43" s="83"/>
      <c r="Q43" s="83"/>
      <c r="R43" s="177">
        <v>1</v>
      </c>
      <c r="S43" s="178"/>
      <c r="T43" s="90" t="s">
        <v>58</v>
      </c>
      <c r="U43" s="91"/>
      <c r="V43" s="91"/>
      <c r="W43" s="86"/>
      <c r="X43" s="11"/>
      <c r="Y43" s="11"/>
      <c r="Z43" s="11"/>
      <c r="AP43" s="1">
        <v>38</v>
      </c>
      <c r="AQ43" s="7">
        <f t="shared" si="6"/>
        <v>20391.64218548893</v>
      </c>
      <c r="AR43" s="7">
        <f t="shared" si="7"/>
        <v>4640.3231022982845</v>
      </c>
      <c r="AS43" s="7"/>
      <c r="AT43" s="7">
        <f t="shared" si="8"/>
        <v>5835.6806499886243</v>
      </c>
      <c r="AU43" s="7">
        <f t="shared" si="9"/>
        <v>3485.8180975191967</v>
      </c>
      <c r="AV43" s="7"/>
      <c r="AX43" s="7">
        <f t="shared" si="10"/>
        <v>-181.86877616464511</v>
      </c>
      <c r="AY43" s="7">
        <f t="shared" si="11"/>
        <v>1327.9619940891685</v>
      </c>
      <c r="BB43" s="7">
        <f t="shared" si="12"/>
        <v>-102.65752136464448</v>
      </c>
      <c r="BC43" s="7">
        <f t="shared" si="13"/>
        <v>13.621905816720512</v>
      </c>
      <c r="BF43" s="7">
        <f t="shared" si="14"/>
        <v>-349.78111950020747</v>
      </c>
      <c r="BG43" s="7">
        <f t="shared" si="15"/>
        <v>-270.55415131809445</v>
      </c>
      <c r="BI43" s="10">
        <f t="shared" si="16"/>
        <v>-634.30741702949706</v>
      </c>
      <c r="BJ43">
        <f t="shared" si="17"/>
        <v>1071.0297485877945</v>
      </c>
    </row>
    <row r="44" spans="5:62" ht="17.25" customHeight="1" x14ac:dyDescent="0.35">
      <c r="F44" s="92"/>
      <c r="G44" s="92"/>
      <c r="H44" s="88"/>
      <c r="I44" s="93" t="s">
        <v>20</v>
      </c>
      <c r="J44" s="83"/>
      <c r="K44" s="125" t="s">
        <v>59</v>
      </c>
      <c r="L44" s="83"/>
      <c r="M44" s="83"/>
      <c r="N44" s="83"/>
      <c r="O44" s="83"/>
      <c r="P44" s="83"/>
      <c r="Q44" s="83"/>
      <c r="R44" s="185">
        <f>(4/3)*PI()*R42^3</f>
        <v>523598775598.29883</v>
      </c>
      <c r="S44" s="186"/>
      <c r="T44" s="164" t="s">
        <v>60</v>
      </c>
      <c r="U44" s="164"/>
      <c r="V44" s="94"/>
      <c r="W44" s="94"/>
      <c r="X44" s="44"/>
      <c r="Y44" s="6"/>
      <c r="Z44" s="6"/>
      <c r="AP44" s="1">
        <v>39</v>
      </c>
      <c r="AQ44" s="7">
        <f t="shared" si="6"/>
        <v>23230.194083354556</v>
      </c>
      <c r="AR44" s="7">
        <f t="shared" si="7"/>
        <v>6517.1108696313577</v>
      </c>
      <c r="AS44" s="7"/>
      <c r="AT44" s="7">
        <f t="shared" si="8"/>
        <v>5518.5269414738759</v>
      </c>
      <c r="AU44" s="7">
        <f t="shared" si="9"/>
        <v>4021.332971813094</v>
      </c>
      <c r="AV44" s="7"/>
      <c r="AX44" s="7">
        <f t="shared" si="10"/>
        <v>-1438.4611549708225</v>
      </c>
      <c r="AY44" s="7">
        <f t="shared" si="11"/>
        <v>437.69748726988684</v>
      </c>
      <c r="BB44" s="7">
        <f t="shared" si="12"/>
        <v>-91.569458996502902</v>
      </c>
      <c r="BC44" s="7">
        <f t="shared" si="13"/>
        <v>7.377396289216688</v>
      </c>
      <c r="BF44" s="7">
        <f t="shared" si="14"/>
        <v>-294.73905982820526</v>
      </c>
      <c r="BG44" s="7">
        <f t="shared" si="15"/>
        <v>-224.65070587927033</v>
      </c>
      <c r="BI44" s="10">
        <f t="shared" si="16"/>
        <v>-1824.7696737955307</v>
      </c>
      <c r="BJ44">
        <f t="shared" si="17"/>
        <v>220.42417767983318</v>
      </c>
    </row>
    <row r="45" spans="5:62" ht="17.25" customHeight="1" x14ac:dyDescent="0.35">
      <c r="F45" s="92"/>
      <c r="G45" s="92"/>
      <c r="H45" s="88"/>
      <c r="I45" s="88"/>
      <c r="J45" s="93" t="s">
        <v>21</v>
      </c>
      <c r="K45" s="83"/>
      <c r="L45" s="83"/>
      <c r="M45" s="94" t="s">
        <v>61</v>
      </c>
      <c r="N45" s="124"/>
      <c r="O45" s="83"/>
      <c r="P45" s="83"/>
      <c r="Q45" s="83"/>
      <c r="R45" s="185">
        <f>R44*R43</f>
        <v>523598775598.29883</v>
      </c>
      <c r="S45" s="186"/>
      <c r="T45" s="164" t="s">
        <v>31</v>
      </c>
      <c r="U45" s="164"/>
      <c r="V45" s="94"/>
      <c r="W45" s="94"/>
      <c r="X45" s="43"/>
      <c r="Y45" s="44"/>
      <c r="Z45" s="6"/>
      <c r="AP45" s="1">
        <v>40</v>
      </c>
      <c r="AQ45" s="7">
        <f t="shared" si="6"/>
        <v>25761.361344867055</v>
      </c>
      <c r="AR45" s="7">
        <f t="shared" si="7"/>
        <v>8555.3303777478832</v>
      </c>
      <c r="AS45" s="7"/>
      <c r="AT45" s="7">
        <f t="shared" si="8"/>
        <v>4606.1421045761108</v>
      </c>
      <c r="AU45" s="7">
        <f t="shared" si="9"/>
        <v>4131.5450606530103</v>
      </c>
      <c r="AV45" s="7"/>
      <c r="AX45" s="7">
        <f t="shared" si="10"/>
        <v>-1938.0979909964749</v>
      </c>
      <c r="AY45" s="7">
        <f t="shared" si="11"/>
        <v>-355.00874923822715</v>
      </c>
      <c r="BB45" s="7">
        <f t="shared" si="12"/>
        <v>-82.716710765593021</v>
      </c>
      <c r="BC45" s="7">
        <f t="shared" si="13"/>
        <v>2.6113366338711588</v>
      </c>
      <c r="BF45" s="7">
        <f t="shared" si="14"/>
        <v>-251.40297246239385</v>
      </c>
      <c r="BG45" s="7">
        <f t="shared" si="15"/>
        <v>-192.51033814495617</v>
      </c>
      <c r="BI45" s="10">
        <f t="shared" si="16"/>
        <v>-2272.2176742244619</v>
      </c>
      <c r="BJ45">
        <f t="shared" si="17"/>
        <v>-544.90775074931219</v>
      </c>
    </row>
    <row r="46" spans="5:62" ht="17.25" customHeight="1" x14ac:dyDescent="0.35">
      <c r="F46" s="92"/>
      <c r="G46" s="92"/>
      <c r="H46" s="88"/>
      <c r="I46" s="88"/>
      <c r="J46" s="88"/>
      <c r="K46" s="93" t="s">
        <v>22</v>
      </c>
      <c r="L46" s="83"/>
      <c r="M46" s="83"/>
      <c r="N46" s="83"/>
      <c r="O46" s="83"/>
      <c r="P46" s="125" t="s">
        <v>62</v>
      </c>
      <c r="Q46" s="83"/>
      <c r="R46" s="185">
        <f>R42*R9</f>
        <v>10000</v>
      </c>
      <c r="S46" s="186"/>
      <c r="T46" s="164" t="s">
        <v>32</v>
      </c>
      <c r="U46" s="164"/>
      <c r="V46" s="94"/>
      <c r="W46" s="94"/>
      <c r="X46" s="43"/>
      <c r="Y46" s="43"/>
      <c r="Z46" s="44"/>
      <c r="AP46" s="1">
        <v>41</v>
      </c>
      <c r="AQ46" s="7">
        <f t="shared" si="6"/>
        <v>27780.405187877052</v>
      </c>
      <c r="AR46" s="7">
        <f t="shared" si="7"/>
        <v>10552.989439230725</v>
      </c>
      <c r="AS46" s="7"/>
      <c r="AT46" s="7">
        <f t="shared" si="8"/>
        <v>3470.0332674638798</v>
      </c>
      <c r="AU46" s="7">
        <f t="shared" si="9"/>
        <v>3859.0911852783543</v>
      </c>
      <c r="AV46" s="7"/>
      <c r="AX46" s="7">
        <f t="shared" si="10"/>
        <v>-1840.2702697486145</v>
      </c>
      <c r="AY46" s="7">
        <f t="shared" si="11"/>
        <v>-722.11222464697948</v>
      </c>
      <c r="BB46" s="7">
        <f t="shared" si="12"/>
        <v>-76.185709586549095</v>
      </c>
      <c r="BC46" s="7">
        <f t="shared" si="13"/>
        <v>-0.88173996549426381</v>
      </c>
      <c r="BF46" s="7">
        <f t="shared" si="14"/>
        <v>-219.69653804011134</v>
      </c>
      <c r="BG46" s="7">
        <f t="shared" si="15"/>
        <v>-171.25789886363776</v>
      </c>
      <c r="BI46" s="10">
        <f t="shared" si="16"/>
        <v>-2136.1525173752748</v>
      </c>
      <c r="BJ46">
        <f t="shared" si="17"/>
        <v>-894.25186347611157</v>
      </c>
    </row>
    <row r="47" spans="5:62" ht="17.25" customHeight="1" x14ac:dyDescent="0.35">
      <c r="F47" s="88"/>
      <c r="G47" s="88"/>
      <c r="H47" s="88"/>
      <c r="I47" s="88"/>
      <c r="J47" s="88"/>
      <c r="K47" s="88"/>
      <c r="L47" s="82" t="s">
        <v>30</v>
      </c>
      <c r="M47" s="95"/>
      <c r="N47" s="95"/>
      <c r="O47" s="95"/>
      <c r="P47" s="95"/>
      <c r="Q47" s="96" t="s">
        <v>63</v>
      </c>
      <c r="R47" s="183" t="s">
        <v>38</v>
      </c>
      <c r="S47" s="184"/>
      <c r="T47" s="163" t="s">
        <v>35</v>
      </c>
      <c r="U47" s="163"/>
      <c r="V47" s="97"/>
      <c r="W47" s="97"/>
      <c r="X47" s="45"/>
      <c r="Y47" s="45"/>
      <c r="Z47" s="45"/>
      <c r="AA47" s="46"/>
      <c r="AP47" s="1">
        <v>42</v>
      </c>
      <c r="AQ47" s="7">
        <f t="shared" si="6"/>
        <v>29248.402756937081</v>
      </c>
      <c r="AR47" s="7">
        <f t="shared" si="7"/>
        <v>12370.753548935389</v>
      </c>
      <c r="AS47" s="7"/>
      <c r="AT47" s="7">
        <f t="shared" si="8"/>
        <v>2401.9570087762422</v>
      </c>
      <c r="AU47" s="7">
        <f t="shared" si="9"/>
        <v>3411.9652535402984</v>
      </c>
      <c r="AV47" s="7"/>
      <c r="AX47" s="7">
        <f t="shared" si="10"/>
        <v>-1599.7228995425178</v>
      </c>
      <c r="AY47" s="7">
        <f t="shared" si="11"/>
        <v>-842.50828981419318</v>
      </c>
      <c r="BB47" s="7">
        <f t="shared" si="12"/>
        <v>-71.61444560498532</v>
      </c>
      <c r="BC47" s="7">
        <f t="shared" si="13"/>
        <v>-3.4474255319710689</v>
      </c>
      <c r="BF47" s="7">
        <f t="shared" si="14"/>
        <v>-197.21111074432886</v>
      </c>
      <c r="BG47" s="7">
        <f t="shared" si="15"/>
        <v>-157.60783787797203</v>
      </c>
      <c r="BI47" s="10">
        <f t="shared" si="16"/>
        <v>-1868.548455891832</v>
      </c>
      <c r="BJ47">
        <f t="shared" si="17"/>
        <v>-1003.5635532241363</v>
      </c>
    </row>
    <row r="48" spans="5:62" ht="15.75" x14ac:dyDescent="0.25"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  <c r="AP48" s="1">
        <v>43</v>
      </c>
      <c r="AQ48" s="7">
        <f t="shared" si="6"/>
        <v>30215.812704338721</v>
      </c>
      <c r="AR48" s="7">
        <f t="shared" si="7"/>
        <v>13951.290731552519</v>
      </c>
      <c r="AS48" s="7"/>
      <c r="AT48" s="7">
        <f t="shared" si="8"/>
        <v>1467.6827808303262</v>
      </c>
      <c r="AU48" s="7">
        <f t="shared" si="9"/>
        <v>2910.1834769282304</v>
      </c>
      <c r="AV48" s="7"/>
      <c r="AX48" s="7">
        <f t="shared" si="10"/>
        <v>-1386.4895523431767</v>
      </c>
      <c r="AY48" s="7">
        <f t="shared" si="11"/>
        <v>-875.56883209370972</v>
      </c>
      <c r="BB48" s="7">
        <f t="shared" si="12"/>
        <v>-68.569323456643247</v>
      </c>
      <c r="BC48" s="7">
        <f t="shared" si="13"/>
        <v>-5.395458475167759</v>
      </c>
      <c r="BF48" s="7">
        <f t="shared" si="14"/>
        <v>-181.36380538655214</v>
      </c>
      <c r="BG48" s="7">
        <f t="shared" si="15"/>
        <v>-149.10109563593497</v>
      </c>
      <c r="BI48" s="10">
        <f t="shared" si="16"/>
        <v>-1636.4226811863721</v>
      </c>
      <c r="BJ48">
        <f t="shared" si="17"/>
        <v>-1030.0653862048125</v>
      </c>
    </row>
    <row r="49" spans="42:62" x14ac:dyDescent="0.25">
      <c r="AP49" s="1">
        <v>44</v>
      </c>
      <c r="AQ49" s="7">
        <f t="shared" si="6"/>
        <v>30745.101259605588</v>
      </c>
      <c r="AR49" s="7">
        <f t="shared" si="7"/>
        <v>15277.624296741033</v>
      </c>
      <c r="AS49" s="7"/>
      <c r="AT49" s="7">
        <f t="shared" si="8"/>
        <v>649.4714402371402</v>
      </c>
      <c r="AU49" s="7">
        <f t="shared" si="9"/>
        <v>2395.150783825824</v>
      </c>
      <c r="AV49" s="7"/>
      <c r="AX49" s="7">
        <f t="shared" si="10"/>
        <v>-1227.3452495501847</v>
      </c>
      <c r="AY49" s="7">
        <f t="shared" si="11"/>
        <v>-888.38904378473887</v>
      </c>
      <c r="BB49" s="7">
        <f t="shared" si="12"/>
        <v>-66.733910848600317</v>
      </c>
      <c r="BC49" s="7">
        <f t="shared" si="13"/>
        <v>-6.9405026410200605</v>
      </c>
      <c r="BF49" s="7">
        <f t="shared" si="14"/>
        <v>-170.29353712199639</v>
      </c>
      <c r="BG49" s="7">
        <f t="shared" si="15"/>
        <v>-144.24588420370927</v>
      </c>
      <c r="BI49" s="10">
        <f t="shared" si="16"/>
        <v>-1464.3726975207815</v>
      </c>
      <c r="BJ49">
        <f t="shared" si="17"/>
        <v>-1039.5754306294682</v>
      </c>
    </row>
    <row r="50" spans="42:62" x14ac:dyDescent="0.25">
      <c r="AP50" s="1">
        <v>45</v>
      </c>
      <c r="AQ50" s="7">
        <f t="shared" si="6"/>
        <v>30886.790392534062</v>
      </c>
      <c r="AR50" s="7">
        <f t="shared" si="7"/>
        <v>16345.252759825262</v>
      </c>
      <c r="AS50" s="7"/>
      <c r="AT50" s="7">
        <f t="shared" si="8"/>
        <v>-82.714908523250529</v>
      </c>
      <c r="AU50" s="7">
        <f t="shared" si="9"/>
        <v>1875.3630685110898</v>
      </c>
      <c r="AV50" s="7"/>
      <c r="AX50" s="7">
        <f t="shared" si="10"/>
        <v>-1115.0360284066783</v>
      </c>
      <c r="AY50" s="7">
        <f t="shared" si="11"/>
        <v>-905.93968947289193</v>
      </c>
      <c r="BB50" s="7">
        <f t="shared" si="12"/>
        <v>-65.918141783745867</v>
      </c>
      <c r="BC50" s="7">
        <f t="shared" si="13"/>
        <v>-8.2195647996151298</v>
      </c>
      <c r="BF50" s="7">
        <f t="shared" si="14"/>
        <v>-162.81876889025293</v>
      </c>
      <c r="BG50" s="7">
        <f t="shared" si="15"/>
        <v>-142.21376191865608</v>
      </c>
      <c r="BI50" s="10">
        <f t="shared" si="16"/>
        <v>-1343.7729390806771</v>
      </c>
      <c r="BJ50">
        <f t="shared" si="17"/>
        <v>-1056.3730161911631</v>
      </c>
    </row>
    <row r="51" spans="42:62" x14ac:dyDescent="0.25">
      <c r="AP51" s="1">
        <v>46</v>
      </c>
      <c r="AQ51" s="7">
        <f t="shared" si="6"/>
        <v>30677.461320887352</v>
      </c>
      <c r="AR51" s="7">
        <f t="shared" si="7"/>
        <v>17150.887667056912</v>
      </c>
      <c r="AS51" s="7"/>
      <c r="AT51" s="7">
        <f t="shared" si="8"/>
        <v>-754.6013780635891</v>
      </c>
      <c r="AU51" s="7">
        <f t="shared" si="9"/>
        <v>1347.1765604155082</v>
      </c>
      <c r="AV51" s="7"/>
      <c r="AX51" s="7">
        <f t="shared" si="10"/>
        <v>-1038.5932318641521</v>
      </c>
      <c r="AY51" s="7">
        <f t="shared" si="11"/>
        <v>-938.73874240862472</v>
      </c>
      <c r="BB51" s="7">
        <f t="shared" si="12"/>
        <v>-66.030680775164399</v>
      </c>
      <c r="BC51" s="7">
        <f t="shared" si="13"/>
        <v>-9.3173171760259628</v>
      </c>
      <c r="BF51" s="7">
        <f t="shared" si="14"/>
        <v>-158.23308752567121</v>
      </c>
      <c r="BG51" s="7">
        <f t="shared" si="15"/>
        <v>-142.59238280698699</v>
      </c>
      <c r="BI51" s="10">
        <f t="shared" si="16"/>
        <v>-1262.8570001649878</v>
      </c>
      <c r="BJ51">
        <f t="shared" si="17"/>
        <v>-1090.6484423916377</v>
      </c>
    </row>
    <row r="52" spans="42:62" x14ac:dyDescent="0.25">
      <c r="AP52" s="1">
        <v>47</v>
      </c>
      <c r="AQ52" s="7">
        <f t="shared" si="6"/>
        <v>30142.303506834935</v>
      </c>
      <c r="AR52" s="7">
        <f t="shared" si="7"/>
        <v>17688.144891965712</v>
      </c>
      <c r="AS52" s="7"/>
      <c r="AT52" s="7">
        <f t="shared" si="8"/>
        <v>-1386.0298781460829</v>
      </c>
      <c r="AU52" s="7">
        <f t="shared" si="9"/>
        <v>801.85233921968938</v>
      </c>
      <c r="AV52" s="7"/>
      <c r="AX52" s="7">
        <f t="shared" si="10"/>
        <v>-988.87118153957783</v>
      </c>
      <c r="AY52" s="7">
        <f t="shared" si="11"/>
        <v>-993.34070117553972</v>
      </c>
      <c r="BB52" s="7">
        <f t="shared" si="12"/>
        <v>-67.059299095091177</v>
      </c>
      <c r="BC52" s="7">
        <f t="shared" si="13"/>
        <v>-10.281968951156175</v>
      </c>
      <c r="BF52" s="7">
        <f t="shared" si="14"/>
        <v>-156.15779117844755</v>
      </c>
      <c r="BG52" s="7">
        <f t="shared" si="15"/>
        <v>-145.25253027473363</v>
      </c>
      <c r="BI52" s="10">
        <f t="shared" si="16"/>
        <v>-1212.0882718131165</v>
      </c>
      <c r="BJ52">
        <f t="shared" si="17"/>
        <v>-1148.8752004014295</v>
      </c>
    </row>
    <row r="53" spans="42:62" x14ac:dyDescent="0.25">
      <c r="AP53" s="1">
        <v>48</v>
      </c>
      <c r="AQ53" s="7">
        <f t="shared" si="6"/>
        <v>29297.777533785254</v>
      </c>
      <c r="AR53" s="7">
        <f t="shared" si="7"/>
        <v>17945.461661525376</v>
      </c>
      <c r="AS53" s="7"/>
      <c r="AT53" s="7">
        <f t="shared" si="8"/>
        <v>-1992.0740140526411</v>
      </c>
      <c r="AU53" s="7">
        <f t="shared" si="9"/>
        <v>227.41473901897461</v>
      </c>
      <c r="AV53" s="7"/>
      <c r="AX53" s="7">
        <f t="shared" si="10"/>
        <v>-958.11438610475295</v>
      </c>
      <c r="AY53" s="7">
        <f t="shared" si="11"/>
        <v>-1076.3805706307046</v>
      </c>
      <c r="BB53" s="7">
        <f t="shared" si="12"/>
        <v>-69.064353027683097</v>
      </c>
      <c r="BC53" s="7">
        <f t="shared" si="13"/>
        <v>-11.131296310131555</v>
      </c>
      <c r="BF53" s="7">
        <f t="shared" si="14"/>
        <v>-156.46463853249918</v>
      </c>
      <c r="BG53" s="7">
        <f t="shared" si="15"/>
        <v>-150.29544538502847</v>
      </c>
      <c r="BI53" s="10">
        <f t="shared" si="16"/>
        <v>-1183.6433776649353</v>
      </c>
      <c r="BJ53">
        <f t="shared" si="17"/>
        <v>-1237.8073123258646</v>
      </c>
    </row>
    <row r="54" spans="42:62" x14ac:dyDescent="0.25">
      <c r="AP54" s="1">
        <v>49</v>
      </c>
      <c r="AQ54" s="7">
        <f t="shared" si="6"/>
        <v>28153.785104550818</v>
      </c>
      <c r="AR54" s="7">
        <f t="shared" si="7"/>
        <v>17904.443116994131</v>
      </c>
      <c r="AS54" s="7"/>
      <c r="AT54" s="7">
        <f t="shared" si="8"/>
        <v>-2583.8957028851087</v>
      </c>
      <c r="AU54" s="7">
        <f t="shared" si="9"/>
        <v>-391.48891714395768</v>
      </c>
      <c r="AV54" s="7"/>
      <c r="AX54" s="7">
        <f t="shared" si="10"/>
        <v>-937.52528735268186</v>
      </c>
      <c r="AY54" s="7">
        <f t="shared" si="11"/>
        <v>-1196.3067946885651</v>
      </c>
      <c r="BB54" s="7">
        <f t="shared" si="12"/>
        <v>-72.184195978184107</v>
      </c>
      <c r="BC54" s="7">
        <f t="shared" si="13"/>
        <v>-11.849034708625426</v>
      </c>
      <c r="BF54" s="7">
        <f t="shared" si="14"/>
        <v>-159.25523753552014</v>
      </c>
      <c r="BG54" s="7">
        <f t="shared" si="15"/>
        <v>-158.05751554598876</v>
      </c>
      <c r="BI54" s="10">
        <f t="shared" si="16"/>
        <v>-1168.9647208663862</v>
      </c>
      <c r="BJ54">
        <f t="shared" si="17"/>
        <v>-1366.2133449431792</v>
      </c>
    </row>
    <row r="55" spans="42:62" x14ac:dyDescent="0.25">
      <c r="AP55" s="1">
        <v>50</v>
      </c>
      <c r="AQ55" s="7">
        <f t="shared" si="6"/>
        <v>26715.716662999967</v>
      </c>
      <c r="AR55" s="7">
        <f t="shared" si="7"/>
        <v>17537.921990304254</v>
      </c>
      <c r="AS55" s="7"/>
      <c r="AT55" s="7">
        <f t="shared" si="8"/>
        <v>-3168.3780633183019</v>
      </c>
      <c r="AU55" s="7">
        <f t="shared" si="9"/>
        <v>-1074.5955896155474</v>
      </c>
      <c r="AV55" s="7"/>
      <c r="AX55" s="7">
        <f t="shared" si="10"/>
        <v>-912.13105421294358</v>
      </c>
      <c r="AY55" s="7">
        <f t="shared" si="11"/>
        <v>-1363.3541774577325</v>
      </c>
      <c r="BB55" s="7">
        <f t="shared" si="12"/>
        <v>-76.651546422650853</v>
      </c>
      <c r="BC55" s="7">
        <f t="shared" si="13"/>
        <v>-12.368286706125911</v>
      </c>
      <c r="BF55" s="7">
        <f t="shared" si="14"/>
        <v>-164.89434136544591</v>
      </c>
      <c r="BG55" s="7">
        <f t="shared" si="15"/>
        <v>-169.16909912525296</v>
      </c>
      <c r="BI55" s="10">
        <f t="shared" si="16"/>
        <v>-1153.6769420010403</v>
      </c>
      <c r="BJ55">
        <f t="shared" si="17"/>
        <v>-1544.8915632891112</v>
      </c>
    </row>
    <row r="56" spans="42:62" x14ac:dyDescent="0.25">
      <c r="AP56" s="1">
        <v>51</v>
      </c>
      <c r="AQ56" s="7">
        <f t="shared" si="6"/>
        <v>24987.318013590684</v>
      </c>
      <c r="AR56" s="7">
        <f t="shared" si="7"/>
        <v>16807.512750085341</v>
      </c>
      <c r="AS56" s="7"/>
      <c r="AT56" s="7">
        <f t="shared" si="8"/>
        <v>-3745.2165343188221</v>
      </c>
      <c r="AU56" s="7">
        <f t="shared" si="9"/>
        <v>-1847.041371260103</v>
      </c>
      <c r="AV56" s="7"/>
      <c r="AX56" s="7">
        <f t="shared" si="10"/>
        <v>-848.96634021373268</v>
      </c>
      <c r="AY56" s="7">
        <f t="shared" si="11"/>
        <v>-1584.3716030138669</v>
      </c>
      <c r="BB56" s="7">
        <f t="shared" si="12"/>
        <v>-82.81797669981782</v>
      </c>
      <c r="BC56" s="7">
        <f t="shared" si="13"/>
        <v>-12.532074753821977</v>
      </c>
      <c r="BF56" s="7">
        <f t="shared" si="14"/>
        <v>-174.11333573414407</v>
      </c>
      <c r="BG56" s="7">
        <f t="shared" si="15"/>
        <v>-184.68180928396882</v>
      </c>
      <c r="BI56" s="10">
        <f t="shared" si="16"/>
        <v>-1105.8976526476945</v>
      </c>
      <c r="BJ56">
        <f t="shared" si="17"/>
        <v>-1781.5854870516578</v>
      </c>
    </row>
    <row r="57" spans="42:62" x14ac:dyDescent="0.25">
      <c r="AP57" s="1">
        <v>52</v>
      </c>
      <c r="AQ57" s="7">
        <f t="shared" si="6"/>
        <v>22976.472539850311</v>
      </c>
      <c r="AR57" s="7">
        <f t="shared" si="7"/>
        <v>15661.293878573832</v>
      </c>
      <c r="AS57" s="7"/>
      <c r="AT57" s="7">
        <f t="shared" si="8"/>
        <v>-4298.1653606426698</v>
      </c>
      <c r="AU57" s="7">
        <f t="shared" si="9"/>
        <v>-2737.8341147859319</v>
      </c>
      <c r="AV57" s="7"/>
      <c r="AX57" s="7">
        <f t="shared" si="10"/>
        <v>-670.51831226301817</v>
      </c>
      <c r="AY57" s="7">
        <f t="shared" si="11"/>
        <v>-1838.5175485674174</v>
      </c>
      <c r="BB57" s="7">
        <f t="shared" si="12"/>
        <v>-91.170364814428339</v>
      </c>
      <c r="BC57" s="7">
        <f t="shared" si="13"/>
        <v>-12.009878841328096</v>
      </c>
      <c r="BF57" s="7">
        <f t="shared" si="14"/>
        <v>-188.22780468638862</v>
      </c>
      <c r="BG57" s="7">
        <f t="shared" si="15"/>
        <v>-206.29148393841928</v>
      </c>
      <c r="BI57" s="10">
        <f t="shared" si="16"/>
        <v>-949.91648176383512</v>
      </c>
      <c r="BJ57">
        <f t="shared" si="17"/>
        <v>-2056.8189113471649</v>
      </c>
    </row>
    <row r="58" spans="42:62" x14ac:dyDescent="0.25">
      <c r="AP58" s="1">
        <v>53</v>
      </c>
      <c r="AQ58" s="7">
        <f t="shared" si="6"/>
        <v>20708.650299308498</v>
      </c>
      <c r="AR58" s="7">
        <f t="shared" si="7"/>
        <v>14035.274457262471</v>
      </c>
      <c r="AS58" s="7"/>
      <c r="AT58" s="7">
        <f t="shared" si="8"/>
        <v>-4773.1236015245877</v>
      </c>
      <c r="AU58" s="7">
        <f t="shared" si="9"/>
        <v>-3766.2435704595146</v>
      </c>
      <c r="AV58" s="7"/>
      <c r="AX58" s="7">
        <f t="shared" si="10"/>
        <v>-216.50179126373433</v>
      </c>
      <c r="AY58" s="7">
        <f t="shared" si="11"/>
        <v>-1996.6104971353498</v>
      </c>
      <c r="BB58" s="7">
        <f t="shared" si="12"/>
        <v>-102.27018770854086</v>
      </c>
      <c r="BC58" s="7">
        <f t="shared" si="13"/>
        <v>-10.137606458711881</v>
      </c>
      <c r="BF58" s="7">
        <f t="shared" si="14"/>
        <v>-209.54568362382156</v>
      </c>
      <c r="BG58" s="7">
        <f t="shared" si="15"/>
        <v>-236.66028222088349</v>
      </c>
      <c r="BI58" s="10">
        <f t="shared" si="16"/>
        <v>-528.31766259609674</v>
      </c>
      <c r="BJ58">
        <f t="shared" si="17"/>
        <v>-2243.4083858149452</v>
      </c>
    </row>
    <row r="59" spans="42:62" x14ac:dyDescent="0.25">
      <c r="AP59" s="1">
        <v>54</v>
      </c>
      <c r="AQ59" s="7">
        <f t="shared" si="6"/>
        <v>18256.048790721692</v>
      </c>
      <c r="AR59" s="7">
        <f t="shared" si="7"/>
        <v>11871.726623805846</v>
      </c>
      <c r="AS59" s="7"/>
      <c r="AT59" s="7">
        <f t="shared" si="8"/>
        <v>-5037.2824328226361</v>
      </c>
      <c r="AU59" s="7">
        <f t="shared" si="9"/>
        <v>-4887.9477633669867</v>
      </c>
      <c r="AV59" s="7"/>
      <c r="AX59" s="7">
        <f t="shared" si="10"/>
        <v>676.35519391412538</v>
      </c>
      <c r="AY59" s="7">
        <f t="shared" si="11"/>
        <v>-1695.4832180238368</v>
      </c>
      <c r="BB59" s="7">
        <f t="shared" si="12"/>
        <v>-116.39431016403576</v>
      </c>
      <c r="BC59" s="7">
        <f t="shared" si="13"/>
        <v>-5.6947420363594539</v>
      </c>
      <c r="BF59" s="7">
        <f t="shared" si="14"/>
        <v>-242.00400543595941</v>
      </c>
      <c r="BG59" s="7">
        <f t="shared" si="15"/>
        <v>-279.62899177162069</v>
      </c>
      <c r="BI59" s="10">
        <f t="shared" si="16"/>
        <v>317.95687831413022</v>
      </c>
      <c r="BJ59">
        <f t="shared" si="17"/>
        <v>-1980.8069518318171</v>
      </c>
    </row>
    <row r="60" spans="42:62" x14ac:dyDescent="0.25">
      <c r="AP60" s="1">
        <v>55</v>
      </c>
      <c r="AQ60" s="7">
        <f t="shared" si="6"/>
        <v>15777.152184099641</v>
      </c>
      <c r="AR60" s="7">
        <f t="shared" si="7"/>
        <v>9180.1518731433753</v>
      </c>
      <c r="AS60" s="7"/>
      <c r="AT60" s="7">
        <f t="shared" si="8"/>
        <v>-4878.3039936655714</v>
      </c>
      <c r="AU60" s="7">
        <f t="shared" si="9"/>
        <v>-5878.3512392828952</v>
      </c>
      <c r="AV60" s="7"/>
      <c r="AX60" s="7">
        <f t="shared" si="10"/>
        <v>1668.3384365333206</v>
      </c>
      <c r="AY60" s="7">
        <f t="shared" si="11"/>
        <v>-663.78474228318942</v>
      </c>
      <c r="BB60" s="7">
        <f t="shared" si="12"/>
        <v>-132.51937797599211</v>
      </c>
      <c r="BC60" s="7">
        <f t="shared" si="13"/>
        <v>3.0367359382535586</v>
      </c>
      <c r="BF60" s="7">
        <f t="shared" si="14"/>
        <v>-291.65708133261541</v>
      </c>
      <c r="BG60" s="7">
        <f t="shared" si="15"/>
        <v>-339.42633037540969</v>
      </c>
      <c r="BI60" s="10">
        <f t="shared" si="16"/>
        <v>1244.1619772247132</v>
      </c>
      <c r="BJ60">
        <f t="shared" si="17"/>
        <v>-1000.1743367203455</v>
      </c>
    </row>
    <row r="61" spans="42:62" x14ac:dyDescent="0.25">
      <c r="AP61" s="1">
        <v>56</v>
      </c>
      <c r="AQ61" s="7">
        <f t="shared" si="6"/>
        <v>13493.520434419943</v>
      </c>
      <c r="AR61" s="7">
        <f t="shared" si="7"/>
        <v>6115.954461411884</v>
      </c>
      <c r="AS61" s="7"/>
      <c r="AT61" s="7">
        <f t="shared" si="8"/>
        <v>-4256.2230050532144</v>
      </c>
      <c r="AU61" s="7">
        <f t="shared" si="9"/>
        <v>-6378.4384076430679</v>
      </c>
      <c r="AV61" s="7"/>
      <c r="AX61" s="7">
        <f t="shared" si="10"/>
        <v>1966.3987943048101</v>
      </c>
      <c r="AY61" s="7">
        <f t="shared" si="11"/>
        <v>418.28848471915421</v>
      </c>
      <c r="BB61" s="7">
        <f t="shared" si="12"/>
        <v>-147.29245172831384</v>
      </c>
      <c r="BC61" s="7">
        <f t="shared" si="13"/>
        <v>17.080634778992902</v>
      </c>
      <c r="BF61" s="7">
        <f t="shared" si="14"/>
        <v>-365.99626722230659</v>
      </c>
      <c r="BG61" s="7">
        <f t="shared" si="15"/>
        <v>-417.89558343521327</v>
      </c>
      <c r="BI61" s="10">
        <f t="shared" si="16"/>
        <v>1453.1100753541896</v>
      </c>
      <c r="BJ61">
        <f t="shared" si="17"/>
        <v>17.473536062933817</v>
      </c>
    </row>
    <row r="62" spans="42:62" x14ac:dyDescent="0.25">
      <c r="AP62" s="1">
        <v>57</v>
      </c>
      <c r="AQ62" s="7">
        <f t="shared" si="6"/>
        <v>11547.047691312609</v>
      </c>
      <c r="AR62" s="7">
        <f t="shared" si="7"/>
        <v>2928.9194495982169</v>
      </c>
      <c r="AS62" s="7"/>
      <c r="AT62" s="7">
        <f t="shared" si="8"/>
        <v>-3529.6679673761196</v>
      </c>
      <c r="AU62" s="7">
        <f t="shared" si="9"/>
        <v>-6369.7016396116014</v>
      </c>
      <c r="AV62" s="7"/>
      <c r="AX62" s="7">
        <f t="shared" si="10"/>
        <v>1659.1219358202306</v>
      </c>
      <c r="AY62" s="7">
        <f t="shared" si="11"/>
        <v>897.19895896945889</v>
      </c>
      <c r="BB62" s="7">
        <f t="shared" si="12"/>
        <v>-156.52965797514744</v>
      </c>
      <c r="BC62" s="7">
        <f t="shared" si="13"/>
        <v>35.085179155256007</v>
      </c>
      <c r="BF62" s="7">
        <f t="shared" si="14"/>
        <v>-472.61419756510298</v>
      </c>
      <c r="BG62" s="7">
        <f t="shared" si="15"/>
        <v>-512.08300338252434</v>
      </c>
      <c r="BI62" s="10">
        <f t="shared" si="16"/>
        <v>1029.9780802799801</v>
      </c>
      <c r="BJ62">
        <f t="shared" si="17"/>
        <v>420.20113474219056</v>
      </c>
    </row>
    <row r="63" spans="42:62" x14ac:dyDescent="0.25">
      <c r="AP63" s="1">
        <v>58</v>
      </c>
      <c r="AQ63" s="7">
        <f t="shared" si="6"/>
        <v>9910.9609676595464</v>
      </c>
      <c r="AR63" s="7">
        <f t="shared" si="7"/>
        <v>-203.40622836480995</v>
      </c>
      <c r="AS63" s="7"/>
      <c r="AT63" s="7">
        <f t="shared" si="8"/>
        <v>-3014.6789272361293</v>
      </c>
      <c r="AU63" s="7">
        <f t="shared" si="9"/>
        <v>-6159.6010722405063</v>
      </c>
      <c r="AV63" s="7"/>
      <c r="AX63" s="7">
        <f t="shared" si="10"/>
        <v>1251.8731861174392</v>
      </c>
      <c r="AY63" s="7">
        <f t="shared" si="11"/>
        <v>955.85790362660919</v>
      </c>
      <c r="BB63" s="7">
        <f t="shared" si="12"/>
        <v>-158.38753792368811</v>
      </c>
      <c r="BC63" s="7">
        <f t="shared" si="13"/>
        <v>54.030105976644641</v>
      </c>
      <c r="BF63" s="7">
        <f t="shared" si="14"/>
        <v>-619.97783934329584</v>
      </c>
      <c r="BG63" s="7">
        <f t="shared" si="15"/>
        <v>-615.22260410146816</v>
      </c>
      <c r="BI63" s="10">
        <f t="shared" si="16"/>
        <v>473.50780885045526</v>
      </c>
      <c r="BJ63">
        <f t="shared" si="17"/>
        <v>394.6654055017857</v>
      </c>
    </row>
    <row r="64" spans="42:62" x14ac:dyDescent="0.25">
      <c r="AP64" s="1">
        <v>59</v>
      </c>
      <c r="AQ64" s="7">
        <f t="shared" si="6"/>
        <v>8462.8099801477892</v>
      </c>
      <c r="AR64" s="7">
        <f t="shared" si="7"/>
        <v>-3233.8735887973398</v>
      </c>
      <c r="AS64" s="7"/>
      <c r="AT64" s="7">
        <f t="shared" si="8"/>
        <v>-2777.9250228109017</v>
      </c>
      <c r="AU64" s="7">
        <f t="shared" si="9"/>
        <v>-5962.2683694896132</v>
      </c>
      <c r="AV64" s="7"/>
      <c r="AX64" s="7">
        <f t="shared" si="10"/>
        <v>929.23556126694621</v>
      </c>
      <c r="AY64" s="7">
        <f t="shared" si="11"/>
        <v>864.53434776506481</v>
      </c>
      <c r="BB64" s="7">
        <f t="shared" si="12"/>
        <v>-153.68148117982523</v>
      </c>
      <c r="BC64" s="7">
        <f t="shared" si="13"/>
        <v>71.454691096609167</v>
      </c>
      <c r="BF64" s="7">
        <f t="shared" si="14"/>
        <v>-819.8662037557408</v>
      </c>
      <c r="BG64" s="7">
        <f t="shared" si="15"/>
        <v>-716.54055935482984</v>
      </c>
      <c r="BI64" s="10">
        <f t="shared" si="16"/>
        <v>-44.312123668619847</v>
      </c>
      <c r="BJ64">
        <f t="shared" si="17"/>
        <v>219.44847950684414</v>
      </c>
    </row>
    <row r="65" spans="42:62" x14ac:dyDescent="0.25">
      <c r="AP65" s="1">
        <v>60</v>
      </c>
      <c r="AQ65" s="7">
        <f t="shared" si="6"/>
        <v>7068.3084532837611</v>
      </c>
      <c r="AR65" s="7">
        <f t="shared" si="7"/>
        <v>-6187.5767136037912</v>
      </c>
      <c r="AS65" s="7"/>
      <c r="AT65" s="7">
        <f t="shared" si="8"/>
        <v>-2800.0810846452118</v>
      </c>
      <c r="AU65" s="7">
        <f t="shared" si="9"/>
        <v>-5852.5441297361913</v>
      </c>
      <c r="AV65" s="7"/>
      <c r="AX65" s="7">
        <f t="shared" si="10"/>
        <v>698.61959422329437</v>
      </c>
      <c r="AY65" s="7">
        <f t="shared" si="11"/>
        <v>739.45541115124161</v>
      </c>
      <c r="BB65" s="7">
        <f t="shared" si="12"/>
        <v>-144.16870870408178</v>
      </c>
      <c r="BC65" s="7">
        <f t="shared" si="13"/>
        <v>86.216766587991458</v>
      </c>
      <c r="BF65" s="7">
        <f t="shared" si="14"/>
        <v>-1087.0028379436606</v>
      </c>
      <c r="BG65" s="7">
        <f t="shared" si="15"/>
        <v>-793.74248334421873</v>
      </c>
      <c r="BI65" s="10">
        <f t="shared" si="16"/>
        <v>-532.55195242444802</v>
      </c>
      <c r="BJ65">
        <f t="shared" si="17"/>
        <v>31.929694395014394</v>
      </c>
    </row>
    <row r="66" spans="42:62" x14ac:dyDescent="0.25">
      <c r="AP66" s="1">
        <v>61</v>
      </c>
      <c r="AQ66" s="7">
        <f t="shared" si="6"/>
        <v>5601.6989169080998</v>
      </c>
      <c r="AR66" s="7">
        <f t="shared" si="7"/>
        <v>-9109.8575666725101</v>
      </c>
      <c r="AS66" s="7"/>
      <c r="AT66" s="7">
        <f t="shared" si="8"/>
        <v>-3066.357060857436</v>
      </c>
      <c r="AU66" s="7">
        <f t="shared" si="9"/>
        <v>-5836.5792825386843</v>
      </c>
      <c r="AV66" s="7"/>
      <c r="AX66" s="7">
        <f t="shared" si="10"/>
        <v>535.2853283976948</v>
      </c>
      <c r="AY66" s="7">
        <f t="shared" si="11"/>
        <v>617.50431602351023</v>
      </c>
      <c r="BB66" s="7">
        <f t="shared" si="12"/>
        <v>-131.43436958483625</v>
      </c>
      <c r="BC66" s="7">
        <f t="shared" si="13"/>
        <v>98.106461226790699</v>
      </c>
      <c r="BF66" s="7">
        <f t="shared" si="14"/>
        <v>-1429.1962486785212</v>
      </c>
      <c r="BG66" s="7">
        <f t="shared" si="15"/>
        <v>-794.03966627161276</v>
      </c>
      <c r="BI66" s="10">
        <f t="shared" si="16"/>
        <v>-1025.3452898656628</v>
      </c>
      <c r="BJ66">
        <f t="shared" si="17"/>
        <v>-78.428889021311875</v>
      </c>
    </row>
    <row r="67" spans="42:62" x14ac:dyDescent="0.25">
      <c r="AP67" s="1">
        <v>62</v>
      </c>
      <c r="AQ67" s="7">
        <f t="shared" si="6"/>
        <v>3940.3522252461744</v>
      </c>
      <c r="AR67" s="7">
        <f t="shared" si="7"/>
        <v>-12037.950819069516</v>
      </c>
      <c r="AS67" s="7"/>
      <c r="AT67" s="7">
        <f t="shared" si="8"/>
        <v>-3579.0297057902671</v>
      </c>
      <c r="AU67" s="7">
        <f t="shared" si="9"/>
        <v>-5875.7937270493403</v>
      </c>
      <c r="AV67" s="7"/>
      <c r="AX67" s="7">
        <f t="shared" si="10"/>
        <v>418.02350149935967</v>
      </c>
      <c r="AY67" s="7">
        <f t="shared" si="11"/>
        <v>508.56175229128996</v>
      </c>
      <c r="BB67" s="7">
        <f t="shared" si="12"/>
        <v>-116.60692224682256</v>
      </c>
      <c r="BC67" s="7">
        <f t="shared" si="13"/>
        <v>107.34084417223373</v>
      </c>
      <c r="BF67" s="7">
        <f t="shared" si="14"/>
        <v>-1805.8549267365897</v>
      </c>
      <c r="BG67" s="7">
        <f t="shared" si="15"/>
        <v>-598.30205475736818</v>
      </c>
      <c r="BI67" s="10">
        <f t="shared" si="16"/>
        <v>-1504.4383474840524</v>
      </c>
      <c r="BJ67">
        <f t="shared" si="17"/>
        <v>17.600541706155525</v>
      </c>
    </row>
    <row r="68" spans="42:62" x14ac:dyDescent="0.25">
      <c r="AP68" s="1">
        <v>63</v>
      </c>
      <c r="AQ68" s="7">
        <f t="shared" si="6"/>
        <v>1962.7825789155343</v>
      </c>
      <c r="AR68" s="7">
        <f t="shared" si="7"/>
        <v>-14973.647614880918</v>
      </c>
      <c r="AS68" s="7"/>
      <c r="AT68" s="7">
        <f t="shared" si="8"/>
        <v>-4331.2488795322934</v>
      </c>
      <c r="AU68" s="7">
        <f t="shared" si="9"/>
        <v>-5866.9934561962627</v>
      </c>
      <c r="AV68" s="7"/>
      <c r="AX68" s="7">
        <f t="shared" si="10"/>
        <v>332.78165281799511</v>
      </c>
      <c r="AY68" s="7">
        <f t="shared" si="11"/>
        <v>414.63255797909045</v>
      </c>
      <c r="BB68" s="7">
        <f t="shared" si="12"/>
        <v>-100.48024373159461</v>
      </c>
      <c r="BC68" s="7">
        <f t="shared" si="13"/>
        <v>114.255021657374</v>
      </c>
      <c r="BF68" s="7">
        <f t="shared" si="14"/>
        <v>-2014.999645432991</v>
      </c>
      <c r="BG68" s="7">
        <f t="shared" si="15"/>
        <v>-7.6262681003511217</v>
      </c>
      <c r="BI68" s="10">
        <f t="shared" si="16"/>
        <v>-1782.6982363465904</v>
      </c>
      <c r="BJ68">
        <f t="shared" si="17"/>
        <v>521.26131153611334</v>
      </c>
    </row>
    <row r="69" spans="42:62" x14ac:dyDescent="0.25">
      <c r="AP69" s="1">
        <v>64</v>
      </c>
      <c r="AQ69" s="7">
        <f t="shared" si="6"/>
        <v>-425.67914039393622</v>
      </c>
      <c r="AR69" s="7">
        <f t="shared" si="7"/>
        <v>-17841.986679037036</v>
      </c>
      <c r="AS69" s="7"/>
      <c r="AT69" s="7">
        <f t="shared" si="8"/>
        <v>-5222.5979977055886</v>
      </c>
      <c r="AU69" s="7">
        <f t="shared" si="9"/>
        <v>-5606.3628004282064</v>
      </c>
      <c r="AV69" s="7"/>
      <c r="AX69" s="7">
        <f t="shared" si="10"/>
        <v>270.90144994807184</v>
      </c>
      <c r="AY69" s="7">
        <f t="shared" si="11"/>
        <v>336.1053940350622</v>
      </c>
      <c r="BB69" s="7">
        <f t="shared" si="12"/>
        <v>-83.799285755930669</v>
      </c>
      <c r="BC69" s="7">
        <f t="shared" si="13"/>
        <v>119.19384659439953</v>
      </c>
      <c r="BF69" s="7">
        <f t="shared" si="14"/>
        <v>-1634.6851534493178</v>
      </c>
      <c r="BG69" s="7">
        <f t="shared" si="15"/>
        <v>1015.6159948348403</v>
      </c>
      <c r="BI69" s="10">
        <f t="shared" si="16"/>
        <v>-1447.5829892571767</v>
      </c>
      <c r="BJ69">
        <f t="shared" si="17"/>
        <v>1470.915235464302</v>
      </c>
    </row>
    <row r="70" spans="42:62" x14ac:dyDescent="0.25">
      <c r="AP70" s="1">
        <v>65</v>
      </c>
      <c r="AQ70" s="7">
        <f t="shared" ref="AQ70:AQ133" si="19">AQ69+(AT69*$R$7)+((1/2)*(BI69)*$R$7^2)</f>
        <v>-3217.9260129038776</v>
      </c>
      <c r="AR70" s="7">
        <f t="shared" ref="AR70:AR133" si="20">AR69+(AU69*$R$7)+((1/2)*(BJ69)*$R$7^2)</f>
        <v>-20461.3036748181</v>
      </c>
      <c r="AS70" s="7"/>
      <c r="AT70" s="7">
        <f t="shared" ref="AT70:AT133" si="21">AT69+(BI69)*$R$7</f>
        <v>-5946.3894923341768</v>
      </c>
      <c r="AU70" s="7">
        <f t="shared" ref="AU70:AU133" si="22">AU69+(BJ69)*$R$7</f>
        <v>-4870.9051826960549</v>
      </c>
      <c r="AV70" s="7"/>
      <c r="AX70" s="7">
        <f t="shared" ref="AX70:AX133" si="23">(($R$23-AQ70)/(($R$23-AQ70)^2+($S$23-AR70)^2+$R$28^2)^(3/2))*$R$27</f>
        <v>226.97276684530613</v>
      </c>
      <c r="AY70" s="7">
        <f t="shared" ref="AY70:AY133" si="24">(($S$23-AR70)/(($R$23-AQ70)^2+($S$23-AR70)^2+$R$28^2)^(3/2))*$R$27</f>
        <v>273.34286689293896</v>
      </c>
      <c r="BB70" s="7">
        <f t="shared" ref="BB70:BB133" si="25">(($R$32-AQ70)/(($R$32-AQ70)^2+($S$32-AR70)^2+$R$37^2)^(3/2))*$R$36</f>
        <v>-67.506177626500005</v>
      </c>
      <c r="BC70" s="7">
        <f t="shared" ref="BC70:BC133" si="26">(($S$32-AR70)/(($R$32-AQ70)^2+($S$32-AR70)^2+$R$37^2)^(3/2))*$R$36</f>
        <v>122.53111136252613</v>
      </c>
      <c r="BF70" s="7">
        <f t="shared" ref="BF70:BF133" si="27">(($R$41-AQ70)/(($R$41-AQ70)^2+($S$41-AR70)^2+$R$46^2)^(3/2))*$R$45</f>
        <v>-608.32957345482578</v>
      </c>
      <c r="BG70" s="7">
        <f t="shared" ref="BG70:BG133" si="28">(($S$41-AR70)/(($R$41-AQ70)^2+($S$41-AR70)^2+$R$46^2)^(3/2))*$R$45</f>
        <v>1864.2730655773657</v>
      </c>
      <c r="BI70" s="10">
        <f t="shared" ref="BI70:BI133" si="29">BF70+BB70+AX70</f>
        <v>-448.8629842360196</v>
      </c>
      <c r="BJ70">
        <f t="shared" ref="BJ70:BJ133" si="30">BG70+BC70+AY70</f>
        <v>2260.1470438328311</v>
      </c>
    </row>
    <row r="71" spans="42:62" x14ac:dyDescent="0.25">
      <c r="AP71" s="1">
        <v>66</v>
      </c>
      <c r="AQ71" s="7">
        <f t="shared" si="19"/>
        <v>-6247.2286321004676</v>
      </c>
      <c r="AR71" s="7">
        <f t="shared" si="20"/>
        <v>-22614.237885687024</v>
      </c>
      <c r="AS71" s="7"/>
      <c r="AT71" s="7">
        <f t="shared" si="21"/>
        <v>-6170.8209844521862</v>
      </c>
      <c r="AU71" s="7">
        <f t="shared" si="22"/>
        <v>-3740.8316607796396</v>
      </c>
      <c r="AV71" s="7"/>
      <c r="AX71" s="7">
        <f t="shared" si="23"/>
        <v>196.8004776697222</v>
      </c>
      <c r="AY71" s="7">
        <f t="shared" si="24"/>
        <v>225.79512997858836</v>
      </c>
      <c r="BB71" s="7">
        <f t="shared" si="25"/>
        <v>-52.583917381693986</v>
      </c>
      <c r="BC71" s="7">
        <f t="shared" si="26"/>
        <v>124.70100349743625</v>
      </c>
      <c r="BF71" s="7">
        <f t="shared" si="27"/>
        <v>324.09488128710046</v>
      </c>
      <c r="BG71" s="7">
        <f t="shared" si="28"/>
        <v>1978.5751065524735</v>
      </c>
      <c r="BI71" s="10">
        <f t="shared" si="29"/>
        <v>468.3114415751287</v>
      </c>
      <c r="BJ71">
        <f t="shared" si="30"/>
        <v>2329.0712400284979</v>
      </c>
    </row>
    <row r="72" spans="42:62" x14ac:dyDescent="0.25">
      <c r="AP72" s="1">
        <v>67</v>
      </c>
      <c r="AQ72" s="7">
        <f t="shared" si="19"/>
        <v>-9274.100194129669</v>
      </c>
      <c r="AR72" s="7">
        <f t="shared" si="20"/>
        <v>-24193.519811073278</v>
      </c>
      <c r="AS72" s="7"/>
      <c r="AT72" s="7">
        <f t="shared" si="21"/>
        <v>-5936.6652636646222</v>
      </c>
      <c r="AU72" s="7">
        <f t="shared" si="22"/>
        <v>-2576.2960407653909</v>
      </c>
      <c r="AV72" s="7"/>
      <c r="AX72" s="7">
        <f t="shared" si="23"/>
        <v>176.44753827845315</v>
      </c>
      <c r="AY72" s="7">
        <f t="shared" si="24"/>
        <v>191.03041640762976</v>
      </c>
      <c r="BB72" s="7">
        <f t="shared" si="25"/>
        <v>-39.569734243219479</v>
      </c>
      <c r="BC72" s="7">
        <f t="shared" si="26"/>
        <v>126.14591934039058</v>
      </c>
      <c r="BF72" s="7">
        <f t="shared" si="27"/>
        <v>774.95693508339048</v>
      </c>
      <c r="BG72" s="7">
        <f t="shared" si="28"/>
        <v>1666.9197285555331</v>
      </c>
      <c r="BI72" s="10">
        <f t="shared" si="29"/>
        <v>911.83473911862416</v>
      </c>
      <c r="BJ72">
        <f t="shared" si="30"/>
        <v>1984.0960643035532</v>
      </c>
    </row>
    <row r="73" spans="42:62" x14ac:dyDescent="0.25">
      <c r="AP73" s="1">
        <v>68</v>
      </c>
      <c r="AQ73" s="7">
        <f t="shared" si="19"/>
        <v>-12128.453483572152</v>
      </c>
      <c r="AR73" s="7">
        <f t="shared" si="20"/>
        <v>-25233.655823418027</v>
      </c>
      <c r="AS73" s="7"/>
      <c r="AT73" s="7">
        <f t="shared" si="21"/>
        <v>-5480.7478941053105</v>
      </c>
      <c r="AU73" s="7">
        <f t="shared" si="22"/>
        <v>-1584.2480086136143</v>
      </c>
      <c r="AV73" s="7"/>
      <c r="AX73" s="7">
        <f t="shared" si="23"/>
        <v>162.61138261507378</v>
      </c>
      <c r="AY73" s="7">
        <f t="shared" si="24"/>
        <v>165.67448645524263</v>
      </c>
      <c r="BB73" s="7">
        <f t="shared" si="25"/>
        <v>-28.425536793626517</v>
      </c>
      <c r="BC73" s="7">
        <f t="shared" si="26"/>
        <v>127.23491856299729</v>
      </c>
      <c r="BF73" s="7">
        <f t="shared" si="27"/>
        <v>913.69043606174398</v>
      </c>
      <c r="BG73" s="7">
        <f t="shared" si="28"/>
        <v>1311.7001427242296</v>
      </c>
      <c r="BI73" s="10">
        <f t="shared" si="29"/>
        <v>1047.8762818831913</v>
      </c>
      <c r="BJ73">
        <f t="shared" si="30"/>
        <v>1604.6095477424697</v>
      </c>
    </row>
    <row r="74" spans="42:62" x14ac:dyDescent="0.25">
      <c r="AP74" s="1">
        <v>69</v>
      </c>
      <c r="AQ74" s="7">
        <f t="shared" si="19"/>
        <v>-14737.842895389407</v>
      </c>
      <c r="AR74" s="7">
        <f t="shared" si="20"/>
        <v>-25825.203634257025</v>
      </c>
      <c r="AS74" s="7"/>
      <c r="AT74" s="7">
        <f t="shared" si="21"/>
        <v>-4956.809753163715</v>
      </c>
      <c r="AU74" s="7">
        <f t="shared" si="22"/>
        <v>-781.94323474237945</v>
      </c>
      <c r="AV74" s="7"/>
      <c r="AX74" s="7">
        <f t="shared" si="23"/>
        <v>153.04148256873984</v>
      </c>
      <c r="AY74" s="7">
        <f t="shared" si="24"/>
        <v>146.81794106935666</v>
      </c>
      <c r="BB74" s="7">
        <f t="shared" si="25"/>
        <v>-18.840103411330748</v>
      </c>
      <c r="BC74" s="7">
        <f t="shared" si="26"/>
        <v>128.26499243247733</v>
      </c>
      <c r="BF74" s="7">
        <f t="shared" si="27"/>
        <v>925.13971583063756</v>
      </c>
      <c r="BG74" s="7">
        <f t="shared" si="28"/>
        <v>1028.4439707634906</v>
      </c>
      <c r="BI74" s="10">
        <f t="shared" si="29"/>
        <v>1059.3410949880465</v>
      </c>
      <c r="BJ74">
        <f t="shared" si="30"/>
        <v>1303.5269042653247</v>
      </c>
    </row>
    <row r="75" spans="42:62" x14ac:dyDescent="0.25">
      <c r="AP75" s="1">
        <v>70</v>
      </c>
      <c r="AQ75" s="7">
        <f t="shared" si="19"/>
        <v>-17083.83013509776</v>
      </c>
      <c r="AR75" s="7">
        <f t="shared" si="20"/>
        <v>-26053.234388595047</v>
      </c>
      <c r="AS75" s="7"/>
      <c r="AT75" s="7">
        <f t="shared" si="21"/>
        <v>-4427.1392056696914</v>
      </c>
      <c r="AU75" s="7">
        <f t="shared" si="22"/>
        <v>-130.17978260971711</v>
      </c>
      <c r="AV75" s="7"/>
      <c r="AX75" s="7">
        <f t="shared" si="23"/>
        <v>146.37441236190804</v>
      </c>
      <c r="AY75" s="7">
        <f t="shared" si="24"/>
        <v>132.43871920941797</v>
      </c>
      <c r="BB75" s="7">
        <f t="shared" si="25"/>
        <v>-10.473038629230318</v>
      </c>
      <c r="BC75" s="7">
        <f t="shared" si="26"/>
        <v>129.48042602213394</v>
      </c>
      <c r="BF75" s="7">
        <f t="shared" si="27"/>
        <v>895.55042998095564</v>
      </c>
      <c r="BG75" s="7">
        <f t="shared" si="28"/>
        <v>819.17146291518088</v>
      </c>
      <c r="BI75" s="10">
        <f t="shared" si="29"/>
        <v>1031.4518037136334</v>
      </c>
      <c r="BJ75">
        <f t="shared" si="30"/>
        <v>1081.0906081467328</v>
      </c>
    </row>
    <row r="76" spans="42:62" x14ac:dyDescent="0.25">
      <c r="AP76" s="1">
        <v>71</v>
      </c>
      <c r="AQ76" s="7">
        <f t="shared" si="19"/>
        <v>-19168.468262468403</v>
      </c>
      <c r="AR76" s="7">
        <f t="shared" si="20"/>
        <v>-25983.187953881563</v>
      </c>
      <c r="AS76" s="7"/>
      <c r="AT76" s="7">
        <f t="shared" si="21"/>
        <v>-3911.4133038128748</v>
      </c>
      <c r="AU76" s="7">
        <f t="shared" si="22"/>
        <v>410.36552146364932</v>
      </c>
      <c r="AV76" s="7"/>
      <c r="AX76" s="7">
        <f t="shared" si="23"/>
        <v>141.80239919341187</v>
      </c>
      <c r="AY76" s="7">
        <f t="shared" si="24"/>
        <v>121.219863709961</v>
      </c>
      <c r="BB76" s="7">
        <f t="shared" si="25"/>
        <v>-3.029280171961906</v>
      </c>
      <c r="BC76" s="7">
        <f t="shared" si="26"/>
        <v>131.08718870580682</v>
      </c>
      <c r="BF76" s="7">
        <f t="shared" si="27"/>
        <v>857.66357906393057</v>
      </c>
      <c r="BG76" s="7">
        <f t="shared" si="28"/>
        <v>664.8481766381708</v>
      </c>
      <c r="BI76" s="10">
        <f t="shared" si="29"/>
        <v>996.43669808538061</v>
      </c>
      <c r="BJ76">
        <f t="shared" si="30"/>
        <v>917.15522905393868</v>
      </c>
    </row>
    <row r="77" spans="42:62" x14ac:dyDescent="0.25">
      <c r="AP77" s="1">
        <v>72</v>
      </c>
      <c r="AQ77" s="7">
        <f t="shared" si="19"/>
        <v>-20999.620327114168</v>
      </c>
      <c r="AR77" s="7">
        <f t="shared" si="20"/>
        <v>-25663.360789517996</v>
      </c>
      <c r="AS77" s="7"/>
      <c r="AT77" s="7">
        <f t="shared" si="21"/>
        <v>-3413.1949547701843</v>
      </c>
      <c r="AU77" s="7">
        <f t="shared" si="22"/>
        <v>868.94313599061866</v>
      </c>
      <c r="AV77" s="7"/>
      <c r="AX77" s="7">
        <f t="shared" si="23"/>
        <v>138.83977880632526</v>
      </c>
      <c r="AY77" s="7">
        <f t="shared" si="24"/>
        <v>112.30332475654727</v>
      </c>
      <c r="BB77" s="7">
        <f t="shared" si="25"/>
        <v>3.7354459996391185</v>
      </c>
      <c r="BC77" s="7">
        <f t="shared" si="26"/>
        <v>133.26915708035273</v>
      </c>
      <c r="BF77" s="7">
        <f t="shared" si="27"/>
        <v>822.970438876201</v>
      </c>
      <c r="BG77" s="7">
        <f t="shared" si="28"/>
        <v>548.48993472507902</v>
      </c>
      <c r="BI77" s="10">
        <f t="shared" si="29"/>
        <v>965.54566368216535</v>
      </c>
      <c r="BJ77">
        <f t="shared" si="30"/>
        <v>794.06241656197903</v>
      </c>
    </row>
    <row r="78" spans="42:62" x14ac:dyDescent="0.25">
      <c r="AP78" s="1">
        <v>73</v>
      </c>
      <c r="AQ78" s="7">
        <f t="shared" si="19"/>
        <v>-22585.524596538991</v>
      </c>
      <c r="AR78" s="7">
        <f t="shared" si="20"/>
        <v>-25129.631419452442</v>
      </c>
      <c r="AS78" s="7"/>
      <c r="AT78" s="7">
        <f t="shared" si="21"/>
        <v>-2930.4221229291015</v>
      </c>
      <c r="AU78" s="7">
        <f t="shared" si="22"/>
        <v>1265.9743442716081</v>
      </c>
      <c r="AV78" s="7"/>
      <c r="AX78" s="7">
        <f t="shared" si="23"/>
        <v>137.19096612530271</v>
      </c>
      <c r="AY78" s="7">
        <f t="shared" si="24"/>
        <v>105.11765913788993</v>
      </c>
      <c r="BB78" s="7">
        <f t="shared" si="25"/>
        <v>10.024668236540535</v>
      </c>
      <c r="BC78" s="7">
        <f t="shared" si="26"/>
        <v>136.20558888643723</v>
      </c>
      <c r="BF78" s="7">
        <f t="shared" si="27"/>
        <v>795.10965050826928</v>
      </c>
      <c r="BG78" s="7">
        <f t="shared" si="28"/>
        <v>457.99985399830246</v>
      </c>
      <c r="BI78" s="10">
        <f t="shared" si="29"/>
        <v>942.32528487011245</v>
      </c>
      <c r="BJ78">
        <f t="shared" si="30"/>
        <v>699.32310202262966</v>
      </c>
    </row>
    <row r="79" spans="42:62" x14ac:dyDescent="0.25">
      <c r="AP79" s="1">
        <v>74</v>
      </c>
      <c r="AQ79" s="7">
        <f t="shared" si="19"/>
        <v>-23932.944997394778</v>
      </c>
      <c r="AR79" s="7">
        <f t="shared" si="20"/>
        <v>-24409.228859563809</v>
      </c>
      <c r="AS79" s="7"/>
      <c r="AT79" s="7">
        <f t="shared" si="21"/>
        <v>-2459.2594804940454</v>
      </c>
      <c r="AU79" s="7">
        <f t="shared" si="22"/>
        <v>1615.6358952829228</v>
      </c>
      <c r="AV79" s="7"/>
      <c r="AX79" s="7">
        <f t="shared" si="23"/>
        <v>136.67901380487802</v>
      </c>
      <c r="AY79" s="7">
        <f t="shared" si="24"/>
        <v>99.272241641391446</v>
      </c>
      <c r="BB79" s="7">
        <f t="shared" si="25"/>
        <v>16.012054359425527</v>
      </c>
      <c r="BC79" s="7">
        <f t="shared" si="26"/>
        <v>140.08902828038845</v>
      </c>
      <c r="BF79" s="7">
        <f t="shared" si="27"/>
        <v>774.90367870832745</v>
      </c>
      <c r="BG79" s="7">
        <f t="shared" si="28"/>
        <v>385.10892299575431</v>
      </c>
      <c r="BI79" s="10">
        <f t="shared" si="29"/>
        <v>927.59474687263105</v>
      </c>
      <c r="BJ79">
        <f t="shared" si="30"/>
        <v>624.47019291753418</v>
      </c>
    </row>
    <row r="80" spans="42:62" x14ac:dyDescent="0.25">
      <c r="AP80" s="1">
        <v>75</v>
      </c>
      <c r="AQ80" s="7">
        <f t="shared" si="19"/>
        <v>-25046.625394282721</v>
      </c>
      <c r="AR80" s="7">
        <f t="shared" si="20"/>
        <v>-23523.352137807655</v>
      </c>
      <c r="AS80" s="7"/>
      <c r="AT80" s="7">
        <f t="shared" si="21"/>
        <v>-1995.46210705773</v>
      </c>
      <c r="AU80" s="7">
        <f t="shared" si="22"/>
        <v>1927.87099174169</v>
      </c>
      <c r="AV80" s="7"/>
      <c r="AX80" s="7">
        <f t="shared" si="23"/>
        <v>137.20693633258256</v>
      </c>
      <c r="AY80" s="7">
        <f t="shared" si="24"/>
        <v>94.493628864276943</v>
      </c>
      <c r="BB80" s="7">
        <f t="shared" si="25"/>
        <v>21.850149161868277</v>
      </c>
      <c r="BC80" s="7">
        <f t="shared" si="26"/>
        <v>145.14456441462153</v>
      </c>
      <c r="BF80" s="7">
        <f t="shared" si="27"/>
        <v>762.23371574715588</v>
      </c>
      <c r="BG80" s="7">
        <f t="shared" si="28"/>
        <v>324.08379180245828</v>
      </c>
      <c r="BI80" s="10">
        <f t="shared" si="29"/>
        <v>921.2908012416068</v>
      </c>
      <c r="BJ80">
        <f t="shared" si="30"/>
        <v>563.72198508135671</v>
      </c>
    </row>
    <row r="81" spans="42:62" x14ac:dyDescent="0.25">
      <c r="AP81" s="1">
        <v>76</v>
      </c>
      <c r="AQ81" s="7">
        <f t="shared" si="19"/>
        <v>-25929.195097656382</v>
      </c>
      <c r="AR81" s="7">
        <f t="shared" si="20"/>
        <v>-22488.951393801639</v>
      </c>
      <c r="AS81" s="7"/>
      <c r="AT81" s="7">
        <f t="shared" si="21"/>
        <v>-1534.8167064369266</v>
      </c>
      <c r="AU81" s="7">
        <f t="shared" si="22"/>
        <v>2209.7319842823681</v>
      </c>
      <c r="AV81" s="7"/>
      <c r="AX81" s="7">
        <f t="shared" si="23"/>
        <v>138.73702562518653</v>
      </c>
      <c r="AY81" s="7">
        <f t="shared" si="24"/>
        <v>90.586780568393451</v>
      </c>
      <c r="BB81" s="7">
        <f t="shared" si="25"/>
        <v>27.676419850796428</v>
      </c>
      <c r="BC81" s="7">
        <f t="shared" si="26"/>
        <v>151.652601150262</v>
      </c>
      <c r="BF81" s="7">
        <f t="shared" si="27"/>
        <v>756.73655619017097</v>
      </c>
      <c r="BG81" s="7">
        <f t="shared" si="28"/>
        <v>270.77788996556455</v>
      </c>
      <c r="BI81" s="10">
        <f t="shared" si="29"/>
        <v>923.15000166615391</v>
      </c>
      <c r="BJ81">
        <f t="shared" si="30"/>
        <v>513.01727168421996</v>
      </c>
    </row>
    <row r="82" spans="42:62" x14ac:dyDescent="0.25">
      <c r="AP82" s="1">
        <v>77</v>
      </c>
      <c r="AQ82" s="7">
        <f t="shared" si="19"/>
        <v>-26581.209700666575</v>
      </c>
      <c r="AR82" s="7">
        <f t="shared" si="20"/>
        <v>-21319.958242699926</v>
      </c>
      <c r="AS82" s="7"/>
      <c r="AT82" s="7">
        <f t="shared" si="21"/>
        <v>-1073.2417056038496</v>
      </c>
      <c r="AU82" s="7">
        <f t="shared" si="22"/>
        <v>2466.240620124478</v>
      </c>
      <c r="AV82" s="7"/>
      <c r="AX82" s="7">
        <f t="shared" si="23"/>
        <v>141.28074747942719</v>
      </c>
      <c r="AY82" s="7">
        <f t="shared" si="24"/>
        <v>87.410895273427357</v>
      </c>
      <c r="BB82" s="7">
        <f t="shared" si="25"/>
        <v>33.615985508581154</v>
      </c>
      <c r="BC82" s="7">
        <f t="shared" si="26"/>
        <v>159.97837940178837</v>
      </c>
      <c r="BF82" s="7">
        <f t="shared" si="27"/>
        <v>758.05074848532092</v>
      </c>
      <c r="BG82" s="7">
        <f t="shared" si="28"/>
        <v>221.99168363239053</v>
      </c>
      <c r="BI82" s="10">
        <f t="shared" si="29"/>
        <v>932.94748147332928</v>
      </c>
      <c r="BJ82">
        <f t="shared" si="30"/>
        <v>469.38095830760625</v>
      </c>
    </row>
    <row r="83" spans="42:62" x14ac:dyDescent="0.25">
      <c r="AP83" s="1">
        <v>78</v>
      </c>
      <c r="AQ83" s="7">
        <f t="shared" si="19"/>
        <v>-27001.212118284333</v>
      </c>
      <c r="AR83" s="7">
        <f t="shared" si="20"/>
        <v>-20028.165312849236</v>
      </c>
      <c r="AS83" s="7"/>
      <c r="AT83" s="7">
        <f t="shared" si="21"/>
        <v>-606.7679648671849</v>
      </c>
      <c r="AU83" s="7">
        <f t="shared" si="22"/>
        <v>2700.9310992782812</v>
      </c>
      <c r="AV83" s="7"/>
      <c r="AX83" s="7">
        <f t="shared" si="23"/>
        <v>144.89564096845854</v>
      </c>
      <c r="AY83" s="7">
        <f t="shared" si="24"/>
        <v>84.864006222922399</v>
      </c>
      <c r="BB83" s="7">
        <f t="shared" si="25"/>
        <v>39.779235595580431</v>
      </c>
      <c r="BC83" s="7">
        <f t="shared" si="26"/>
        <v>170.61295134357121</v>
      </c>
      <c r="BF83" s="7">
        <f t="shared" si="27"/>
        <v>765.87908289597442</v>
      </c>
      <c r="BG83" s="7">
        <f t="shared" si="28"/>
        <v>175.03429437207865</v>
      </c>
      <c r="BI83" s="10">
        <f t="shared" si="29"/>
        <v>950.5539594600134</v>
      </c>
      <c r="BJ83">
        <f t="shared" si="30"/>
        <v>430.51125193857229</v>
      </c>
    </row>
    <row r="84" spans="42:62" x14ac:dyDescent="0.25">
      <c r="AP84" s="1">
        <v>79</v>
      </c>
      <c r="AQ84" s="7">
        <f t="shared" si="19"/>
        <v>-27185.776855785422</v>
      </c>
      <c r="AR84" s="7">
        <f t="shared" si="20"/>
        <v>-18623.885856717778</v>
      </c>
      <c r="AS84" s="7"/>
      <c r="AT84" s="7">
        <f t="shared" si="21"/>
        <v>-131.4909851371782</v>
      </c>
      <c r="AU84" s="7">
        <f t="shared" si="22"/>
        <v>2916.1867252475672</v>
      </c>
      <c r="AV84" s="7"/>
      <c r="AX84" s="7">
        <f t="shared" si="23"/>
        <v>149.68773042009812</v>
      </c>
      <c r="AY84" s="7">
        <f t="shared" si="24"/>
        <v>82.872963935663805</v>
      </c>
      <c r="BB84" s="7">
        <f t="shared" si="25"/>
        <v>46.249971842866096</v>
      </c>
      <c r="BC84" s="7">
        <f t="shared" si="26"/>
        <v>184.23253901083046</v>
      </c>
      <c r="BF84" s="7">
        <f t="shared" si="27"/>
        <v>779.96096177647712</v>
      </c>
      <c r="BG84" s="7">
        <f t="shared" si="28"/>
        <v>127.40097029492578</v>
      </c>
      <c r="BI84" s="10">
        <f t="shared" si="29"/>
        <v>975.89866403944131</v>
      </c>
      <c r="BJ84">
        <f t="shared" si="30"/>
        <v>394.50647324142005</v>
      </c>
    </row>
    <row r="85" spans="42:62" x14ac:dyDescent="0.25">
      <c r="AP85" s="1">
        <v>80</v>
      </c>
      <c r="AQ85" s="7">
        <f t="shared" si="19"/>
        <v>-27129.53501534908</v>
      </c>
      <c r="AR85" s="7">
        <f t="shared" si="20"/>
        <v>-17116.479184938817</v>
      </c>
      <c r="AS85" s="7"/>
      <c r="AT85" s="7">
        <f t="shared" si="21"/>
        <v>356.45834688254246</v>
      </c>
      <c r="AU85" s="7">
        <f t="shared" si="22"/>
        <v>3113.4399618682774</v>
      </c>
      <c r="AV85" s="7"/>
      <c r="AX85" s="7">
        <f t="shared" si="23"/>
        <v>155.81927095170613</v>
      </c>
      <c r="AY85" s="7">
        <f t="shared" si="24"/>
        <v>81.386795748054865</v>
      </c>
      <c r="BB85" s="7">
        <f t="shared" si="25"/>
        <v>53.054218909061703</v>
      </c>
      <c r="BC85" s="7">
        <f t="shared" si="26"/>
        <v>201.78645867136112</v>
      </c>
      <c r="BF85" s="7">
        <f t="shared" si="27"/>
        <v>799.97522982165628</v>
      </c>
      <c r="BG85" s="7">
        <f t="shared" si="28"/>
        <v>76.510008963578457</v>
      </c>
      <c r="BI85" s="10">
        <f t="shared" si="29"/>
        <v>1008.8487196824241</v>
      </c>
      <c r="BJ85">
        <f t="shared" si="30"/>
        <v>359.68326338299443</v>
      </c>
    </row>
    <row r="86" spans="42:62" x14ac:dyDescent="0.25">
      <c r="AP86" s="1">
        <v>81</v>
      </c>
      <c r="AQ86" s="7">
        <f t="shared" si="19"/>
        <v>-26825.199751947504</v>
      </c>
      <c r="AR86" s="7">
        <f t="shared" si="20"/>
        <v>-15514.798796081805</v>
      </c>
      <c r="AS86" s="7"/>
      <c r="AT86" s="7">
        <f t="shared" si="21"/>
        <v>860.8827067237545</v>
      </c>
      <c r="AU86" s="7">
        <f t="shared" si="22"/>
        <v>3293.2815935597746</v>
      </c>
      <c r="AV86" s="7"/>
      <c r="AX86" s="7">
        <f t="shared" si="23"/>
        <v>163.5226985838498</v>
      </c>
      <c r="AY86" s="7">
        <f t="shared" si="24"/>
        <v>80.372150603438897</v>
      </c>
      <c r="BB86" s="7">
        <f t="shared" si="25"/>
        <v>60.087803821289327</v>
      </c>
      <c r="BC86" s="7">
        <f t="shared" si="26"/>
        <v>224.6275977726761</v>
      </c>
      <c r="BF86" s="7">
        <f t="shared" si="27"/>
        <v>825.35343722815844</v>
      </c>
      <c r="BG86" s="7">
        <f t="shared" si="28"/>
        <v>19.46790685336666</v>
      </c>
      <c r="BI86" s="10">
        <f t="shared" si="29"/>
        <v>1048.9639396332975</v>
      </c>
      <c r="BJ86">
        <f t="shared" si="30"/>
        <v>324.46765522948164</v>
      </c>
    </row>
    <row r="87" spans="42:62" x14ac:dyDescent="0.25">
      <c r="AP87" s="1">
        <v>82</v>
      </c>
      <c r="AQ87" s="7">
        <f t="shared" si="19"/>
        <v>-26263.637906131462</v>
      </c>
      <c r="AR87" s="7">
        <f t="shared" si="20"/>
        <v>-13827.599542398231</v>
      </c>
      <c r="AS87" s="7"/>
      <c r="AT87" s="7">
        <f t="shared" si="21"/>
        <v>1385.3646765404033</v>
      </c>
      <c r="AU87" s="7">
        <f t="shared" si="22"/>
        <v>3455.5154211745153</v>
      </c>
      <c r="AV87" s="7"/>
      <c r="AX87" s="7">
        <f t="shared" si="23"/>
        <v>173.12275502535422</v>
      </c>
      <c r="AY87" s="7">
        <f t="shared" si="24"/>
        <v>79.809823826416277</v>
      </c>
      <c r="BB87" s="7">
        <f t="shared" si="25"/>
        <v>66.953900349416429</v>
      </c>
      <c r="BC87" s="7">
        <f t="shared" si="26"/>
        <v>254.70034335251819</v>
      </c>
      <c r="BF87" s="7">
        <f t="shared" si="27"/>
        <v>854.94850425108893</v>
      </c>
      <c r="BG87" s="7">
        <f t="shared" si="28"/>
        <v>-47.138783214554962</v>
      </c>
      <c r="BI87" s="10">
        <f t="shared" si="29"/>
        <v>1095.0251596258597</v>
      </c>
      <c r="BJ87">
        <f t="shared" si="30"/>
        <v>287.3713839643795</v>
      </c>
    </row>
    <row r="88" spans="42:62" x14ac:dyDescent="0.25">
      <c r="AP88" s="1">
        <v>83</v>
      </c>
      <c r="AQ88" s="7">
        <f t="shared" si="19"/>
        <v>-25434.077422908027</v>
      </c>
      <c r="AR88" s="7">
        <f t="shared" si="20"/>
        <v>-12063.920408815427</v>
      </c>
      <c r="AS88" s="7"/>
      <c r="AT88" s="7">
        <f t="shared" si="21"/>
        <v>1932.877256353333</v>
      </c>
      <c r="AU88" s="7">
        <f t="shared" si="22"/>
        <v>3599.2011131567051</v>
      </c>
      <c r="AV88" s="7"/>
      <c r="AX88" s="7">
        <f t="shared" si="23"/>
        <v>185.07012218235309</v>
      </c>
      <c r="AY88" s="7">
        <f t="shared" si="24"/>
        <v>79.691221783227718</v>
      </c>
      <c r="BB88" s="7">
        <f t="shared" si="25"/>
        <v>72.601790372878838</v>
      </c>
      <c r="BC88" s="7">
        <f t="shared" si="26"/>
        <v>294.78419235835264</v>
      </c>
      <c r="BF88" s="7">
        <f t="shared" si="27"/>
        <v>886.46573470552528</v>
      </c>
      <c r="BG88" s="7">
        <f t="shared" si="28"/>
        <v>-127.37222719120581</v>
      </c>
      <c r="BI88" s="10">
        <f t="shared" si="29"/>
        <v>1144.1376472607571</v>
      </c>
      <c r="BJ88">
        <f t="shared" si="30"/>
        <v>247.10318695037455</v>
      </c>
    </row>
    <row r="89" spans="42:62" x14ac:dyDescent="0.25">
      <c r="AP89" s="1">
        <v>84</v>
      </c>
      <c r="AQ89" s="7">
        <f t="shared" si="19"/>
        <v>-24324.621588823764</v>
      </c>
      <c r="AR89" s="7">
        <f t="shared" si="20"/>
        <v>-10233.431953868278</v>
      </c>
      <c r="AS89" s="7"/>
      <c r="AT89" s="7">
        <f t="shared" si="21"/>
        <v>2504.9460799837116</v>
      </c>
      <c r="AU89" s="7">
        <f t="shared" si="22"/>
        <v>3722.7527066318926</v>
      </c>
      <c r="AV89" s="7"/>
      <c r="AX89" s="7">
        <f t="shared" si="23"/>
        <v>199.99163436963997</v>
      </c>
      <c r="AY89" s="7">
        <f t="shared" si="24"/>
        <v>80.012821594649694</v>
      </c>
      <c r="BB89" s="7">
        <f t="shared" si="25"/>
        <v>74.53062403558279</v>
      </c>
      <c r="BC89" s="7">
        <f t="shared" si="26"/>
        <v>348.70341345020688</v>
      </c>
      <c r="BF89" s="7">
        <f t="shared" si="27"/>
        <v>915.53607292208483</v>
      </c>
      <c r="BG89" s="7">
        <f t="shared" si="28"/>
        <v>-225.82408510369979</v>
      </c>
      <c r="BI89" s="10">
        <f t="shared" si="29"/>
        <v>1190.0583313273075</v>
      </c>
      <c r="BJ89">
        <f t="shared" si="30"/>
        <v>202.89214994115679</v>
      </c>
    </row>
    <row r="90" spans="42:62" x14ac:dyDescent="0.25">
      <c r="AP90" s="1">
        <v>85</v>
      </c>
      <c r="AQ90" s="7">
        <f t="shared" si="19"/>
        <v>-22923.391257415995</v>
      </c>
      <c r="AR90" s="7">
        <f t="shared" si="20"/>
        <v>-8346.6940818096882</v>
      </c>
      <c r="AS90" s="7"/>
      <c r="AT90" s="7">
        <f t="shared" si="21"/>
        <v>3099.9752456473652</v>
      </c>
      <c r="AU90" s="7">
        <f t="shared" si="22"/>
        <v>3824.1987816024712</v>
      </c>
      <c r="AV90" s="7"/>
      <c r="AX90" s="7">
        <f t="shared" si="23"/>
        <v>218.76393587895777</v>
      </c>
      <c r="AY90" s="7">
        <f t="shared" si="24"/>
        <v>80.764475183622068</v>
      </c>
      <c r="BB90" s="7">
        <f t="shared" si="25"/>
        <v>67.095236305504756</v>
      </c>
      <c r="BC90" s="7">
        <f t="shared" si="26"/>
        <v>421.07801058825584</v>
      </c>
      <c r="BF90" s="7">
        <f t="shared" si="27"/>
        <v>934.37041868841322</v>
      </c>
      <c r="BG90" s="7">
        <f t="shared" si="28"/>
        <v>-346.84575854858787</v>
      </c>
      <c r="BI90" s="10">
        <f t="shared" si="29"/>
        <v>1220.2295908728756</v>
      </c>
      <c r="BJ90">
        <f t="shared" si="30"/>
        <v>154.99672722329004</v>
      </c>
    </row>
    <row r="91" spans="42:62" x14ac:dyDescent="0.25">
      <c r="AP91" s="1">
        <v>86</v>
      </c>
      <c r="AQ91" s="7">
        <f t="shared" si="19"/>
        <v>-21220.874935733202</v>
      </c>
      <c r="AR91" s="7">
        <f t="shared" si="20"/>
        <v>-6415.2201001055419</v>
      </c>
      <c r="AS91" s="7"/>
      <c r="AT91" s="7">
        <f t="shared" si="21"/>
        <v>3710.090041083803</v>
      </c>
      <c r="AU91" s="7">
        <f t="shared" si="22"/>
        <v>3901.6971452141161</v>
      </c>
      <c r="AV91" s="7"/>
      <c r="AX91" s="7">
        <f t="shared" si="23"/>
        <v>242.61757441146423</v>
      </c>
      <c r="AY91" s="7">
        <f t="shared" si="24"/>
        <v>81.902117637067292</v>
      </c>
      <c r="BB91" s="7">
        <f t="shared" si="25"/>
        <v>38.312525053587365</v>
      </c>
      <c r="BC91" s="7">
        <f t="shared" si="26"/>
        <v>515.12936578368749</v>
      </c>
      <c r="BF91" s="7">
        <f t="shared" si="27"/>
        <v>930.30689690417989</v>
      </c>
      <c r="BG91" s="7">
        <f t="shared" si="28"/>
        <v>-492.35814843024627</v>
      </c>
      <c r="BI91" s="10">
        <f t="shared" si="29"/>
        <v>1211.2369963692315</v>
      </c>
      <c r="BJ91">
        <f t="shared" si="30"/>
        <v>104.67333499050851</v>
      </c>
    </row>
    <row r="92" spans="42:62" x14ac:dyDescent="0.25">
      <c r="AP92" s="1">
        <v>87</v>
      </c>
      <c r="AQ92" s="7">
        <f t="shared" si="19"/>
        <v>-19214.425290645147</v>
      </c>
      <c r="AR92" s="7">
        <f t="shared" si="20"/>
        <v>-4451.2873606246703</v>
      </c>
      <c r="AS92" s="7"/>
      <c r="AT92" s="7">
        <f t="shared" si="21"/>
        <v>4315.7085392684185</v>
      </c>
      <c r="AU92" s="7">
        <f t="shared" si="22"/>
        <v>3954.0338127093705</v>
      </c>
      <c r="AV92" s="7"/>
      <c r="AX92" s="7">
        <f t="shared" si="23"/>
        <v>273.27084900302049</v>
      </c>
      <c r="AY92" s="7">
        <f t="shared" si="24"/>
        <v>83.284108322660614</v>
      </c>
      <c r="BB92" s="7">
        <f t="shared" si="25"/>
        <v>-33.95456770912913</v>
      </c>
      <c r="BC92" s="7">
        <f t="shared" si="26"/>
        <v>624.62196061961515</v>
      </c>
      <c r="BF92" s="7">
        <f t="shared" si="27"/>
        <v>885.70696888208397</v>
      </c>
      <c r="BG92" s="7">
        <f t="shared" si="28"/>
        <v>-657.29483298759521</v>
      </c>
      <c r="BI92" s="10">
        <f t="shared" si="29"/>
        <v>1125.0232501759754</v>
      </c>
      <c r="BJ92">
        <f t="shared" si="30"/>
        <v>50.611235954680552</v>
      </c>
    </row>
    <row r="93" spans="42:62" x14ac:dyDescent="0.25">
      <c r="AP93" s="1">
        <v>88</v>
      </c>
      <c r="AQ93" s="7">
        <f t="shared" si="19"/>
        <v>-16915.94311473894</v>
      </c>
      <c r="AR93" s="7">
        <f t="shared" si="20"/>
        <v>-2467.9440497756495</v>
      </c>
      <c r="AS93" s="7"/>
      <c r="AT93" s="7">
        <f t="shared" si="21"/>
        <v>4878.2201643564058</v>
      </c>
      <c r="AU93" s="7">
        <f t="shared" si="22"/>
        <v>3979.3394306867108</v>
      </c>
      <c r="AV93" s="7"/>
      <c r="AX93" s="7">
        <f t="shared" si="23"/>
        <v>313.06162837513386</v>
      </c>
      <c r="AY93" s="7">
        <f t="shared" si="24"/>
        <v>84.532062097827804</v>
      </c>
      <c r="BB93" s="7">
        <f t="shared" si="25"/>
        <v>-176.97547438445349</v>
      </c>
      <c r="BC93" s="7">
        <f t="shared" si="26"/>
        <v>715.46031571369429</v>
      </c>
      <c r="BF93" s="7">
        <f t="shared" si="27"/>
        <v>782.70647053504979</v>
      </c>
      <c r="BG93" s="7">
        <f t="shared" si="28"/>
        <v>-823.1762426941367</v>
      </c>
      <c r="BI93" s="10">
        <f t="shared" si="29"/>
        <v>918.79262452573016</v>
      </c>
      <c r="BJ93">
        <f t="shared" si="30"/>
        <v>-23.183864882614614</v>
      </c>
    </row>
    <row r="94" spans="42:62" x14ac:dyDescent="0.25">
      <c r="AP94" s="1">
        <v>89</v>
      </c>
      <c r="AQ94" s="7">
        <f t="shared" si="19"/>
        <v>-14361.983954495023</v>
      </c>
      <c r="AR94" s="7">
        <f t="shared" si="20"/>
        <v>-481.17231754262099</v>
      </c>
      <c r="AS94" s="7"/>
      <c r="AT94" s="7">
        <f t="shared" si="21"/>
        <v>5337.6164766192705</v>
      </c>
      <c r="AU94" s="7">
        <f t="shared" si="22"/>
        <v>3967.7474982454037</v>
      </c>
      <c r="AV94" s="7"/>
      <c r="AX94" s="7">
        <f t="shared" si="23"/>
        <v>364.97428538349567</v>
      </c>
      <c r="AY94" s="7">
        <f t="shared" si="24"/>
        <v>84.77166705435836</v>
      </c>
      <c r="BB94" s="7">
        <f t="shared" si="25"/>
        <v>-384.6719285297948</v>
      </c>
      <c r="BC94" s="7">
        <f t="shared" si="26"/>
        <v>715.1119713213061</v>
      </c>
      <c r="BF94" s="7">
        <f t="shared" si="27"/>
        <v>616.33530795101456</v>
      </c>
      <c r="BG94" s="7">
        <f t="shared" si="28"/>
        <v>-955.83010761929427</v>
      </c>
      <c r="BI94" s="10">
        <f t="shared" si="29"/>
        <v>596.63766480471543</v>
      </c>
      <c r="BJ94">
        <f t="shared" si="30"/>
        <v>-155.94646924362979</v>
      </c>
    </row>
    <row r="95" spans="42:62" x14ac:dyDescent="0.25">
      <c r="AP95" s="1">
        <v>90</v>
      </c>
      <c r="AQ95" s="7">
        <f t="shared" si="19"/>
        <v>-11618.596008084798</v>
      </c>
      <c r="AR95" s="7">
        <f t="shared" si="20"/>
        <v>1483.2081229246271</v>
      </c>
      <c r="AS95" s="7"/>
      <c r="AT95" s="7">
        <f t="shared" si="21"/>
        <v>5635.9353090216282</v>
      </c>
      <c r="AU95" s="7">
        <f t="shared" si="22"/>
        <v>3889.7742636235889</v>
      </c>
      <c r="AV95" s="7"/>
      <c r="AX95" s="7">
        <f t="shared" si="23"/>
        <v>432.4238181227895</v>
      </c>
      <c r="AY95" s="7">
        <f t="shared" si="24"/>
        <v>82.287148856003697</v>
      </c>
      <c r="BB95" s="7">
        <f t="shared" si="25"/>
        <v>-566.75068845771989</v>
      </c>
      <c r="BC95" s="7">
        <f t="shared" si="26"/>
        <v>575.90561968372663</v>
      </c>
      <c r="BF95" s="7">
        <f t="shared" si="27"/>
        <v>409.17102803378759</v>
      </c>
      <c r="BG95" s="7">
        <f t="shared" si="28"/>
        <v>-1019.0153931005027</v>
      </c>
      <c r="BI95" s="10">
        <f t="shared" si="29"/>
        <v>274.8441576988572</v>
      </c>
      <c r="BJ95">
        <f t="shared" si="30"/>
        <v>-360.8226245607724</v>
      </c>
    </row>
    <row r="96" spans="42:62" x14ac:dyDescent="0.25">
      <c r="AP96" s="1">
        <v>91</v>
      </c>
      <c r="AQ96" s="7">
        <f t="shared" si="19"/>
        <v>-8766.2728338616271</v>
      </c>
      <c r="AR96" s="7">
        <f t="shared" si="20"/>
        <v>3382.9924266663247</v>
      </c>
      <c r="AS96" s="7"/>
      <c r="AT96" s="7">
        <f t="shared" si="21"/>
        <v>5773.3573878710567</v>
      </c>
      <c r="AU96" s="7">
        <f t="shared" si="22"/>
        <v>3709.3629513432029</v>
      </c>
      <c r="AV96" s="7"/>
      <c r="AX96" s="7">
        <f t="shared" si="23"/>
        <v>518.93743376207124</v>
      </c>
      <c r="AY96" s="7">
        <f t="shared" si="24"/>
        <v>74.269939565124631</v>
      </c>
      <c r="BB96" s="7">
        <f t="shared" si="25"/>
        <v>-622.59514093347707</v>
      </c>
      <c r="BC96" s="7">
        <f t="shared" si="26"/>
        <v>366.7275074202937</v>
      </c>
      <c r="BF96" s="7">
        <f t="shared" si="27"/>
        <v>205.13083277871334</v>
      </c>
      <c r="BG96" s="7">
        <f t="shared" si="28"/>
        <v>-1001.2335037290575</v>
      </c>
      <c r="BI96" s="10">
        <f t="shared" si="29"/>
        <v>101.47312560730751</v>
      </c>
      <c r="BJ96">
        <f t="shared" si="30"/>
        <v>-560.2360567436391</v>
      </c>
    </row>
    <row r="97" spans="42:62" x14ac:dyDescent="0.25">
      <c r="AP97" s="1">
        <v>92</v>
      </c>
      <c r="AQ97" s="7">
        <f t="shared" si="19"/>
        <v>-5866.9099992251859</v>
      </c>
      <c r="AR97" s="7">
        <f t="shared" si="20"/>
        <v>5167.6443952449708</v>
      </c>
      <c r="AS97" s="7"/>
      <c r="AT97" s="7">
        <f t="shared" si="21"/>
        <v>5824.0939506747109</v>
      </c>
      <c r="AU97" s="7">
        <f t="shared" si="22"/>
        <v>3429.2449229713834</v>
      </c>
      <c r="AV97" s="7"/>
      <c r="AX97" s="7">
        <f t="shared" si="23"/>
        <v>628.31870925071826</v>
      </c>
      <c r="AY97" s="7">
        <f t="shared" si="24"/>
        <v>56.653951443649611</v>
      </c>
      <c r="BB97" s="7">
        <f t="shared" si="25"/>
        <v>-565.51858949280711</v>
      </c>
      <c r="BC97" s="7">
        <f t="shared" si="26"/>
        <v>193.36089456579603</v>
      </c>
      <c r="BF97" s="7">
        <f t="shared" si="27"/>
        <v>39.70427669568592</v>
      </c>
      <c r="BG97" s="7">
        <f t="shared" si="28"/>
        <v>-923.67343101899951</v>
      </c>
      <c r="BI97" s="10">
        <f t="shared" si="29"/>
        <v>102.50439645359711</v>
      </c>
      <c r="BJ97">
        <f t="shared" si="30"/>
        <v>-673.65858500955392</v>
      </c>
    </row>
    <row r="98" spans="42:62" x14ac:dyDescent="0.25">
      <c r="AP98" s="1">
        <v>93</v>
      </c>
      <c r="AQ98" s="7">
        <f t="shared" si="19"/>
        <v>-2942.0499743311307</v>
      </c>
      <c r="AR98" s="7">
        <f t="shared" si="20"/>
        <v>6798.0595336044689</v>
      </c>
      <c r="AS98" s="7"/>
      <c r="AT98" s="7">
        <f t="shared" si="21"/>
        <v>5875.3461489015099</v>
      </c>
      <c r="AU98" s="7">
        <f t="shared" si="22"/>
        <v>3092.4156304666067</v>
      </c>
      <c r="AV98" s="7"/>
      <c r="AX98" s="7">
        <f t="shared" si="23"/>
        <v>765.43054870492585</v>
      </c>
      <c r="AY98" s="7">
        <f t="shared" si="24"/>
        <v>23.419296747782777</v>
      </c>
      <c r="BB98" s="7">
        <f t="shared" si="25"/>
        <v>-467.40876469243705</v>
      </c>
      <c r="BC98" s="7">
        <f t="shared" si="26"/>
        <v>87.737098289334213</v>
      </c>
      <c r="BF98" s="7">
        <f t="shared" si="27"/>
        <v>-77.263846765330953</v>
      </c>
      <c r="BG98" s="7">
        <f t="shared" si="28"/>
        <v>-818.38815839980487</v>
      </c>
      <c r="BI98" s="10">
        <f t="shared" si="29"/>
        <v>220.75793724715788</v>
      </c>
      <c r="BJ98">
        <f t="shared" si="30"/>
        <v>-707.23176336268784</v>
      </c>
    </row>
    <row r="99" spans="42:62" x14ac:dyDescent="0.25">
      <c r="AP99" s="1">
        <v>94</v>
      </c>
      <c r="AQ99" s="7">
        <f t="shared" si="19"/>
        <v>23.217842275519004</v>
      </c>
      <c r="AR99" s="7">
        <f t="shared" si="20"/>
        <v>8255.8633784174381</v>
      </c>
      <c r="AS99" s="7"/>
      <c r="AT99" s="7">
        <f t="shared" si="21"/>
        <v>5985.7251175250885</v>
      </c>
      <c r="AU99" s="7">
        <f t="shared" si="22"/>
        <v>2738.7997487852626</v>
      </c>
      <c r="AV99" s="7"/>
      <c r="AX99" s="7">
        <f t="shared" si="23"/>
        <v>936.55706256769543</v>
      </c>
      <c r="AY99" s="7">
        <f t="shared" si="24"/>
        <v>-35.436597336042972</v>
      </c>
      <c r="BB99" s="7">
        <f t="shared" si="25"/>
        <v>-373.01013762107829</v>
      </c>
      <c r="BC99" s="7">
        <f t="shared" si="26"/>
        <v>32.491313153118014</v>
      </c>
      <c r="BF99" s="7">
        <f t="shared" si="27"/>
        <v>-153.00403349462761</v>
      </c>
      <c r="BG99" s="7">
        <f t="shared" si="28"/>
        <v>-708.35886697001797</v>
      </c>
      <c r="BI99" s="10">
        <f t="shared" si="29"/>
        <v>410.54289145198948</v>
      </c>
      <c r="BJ99">
        <f t="shared" si="30"/>
        <v>-711.30415115294295</v>
      </c>
    </row>
    <row r="100" spans="42:62" x14ac:dyDescent="0.25">
      <c r="AP100" s="1">
        <v>95</v>
      </c>
      <c r="AQ100" s="7">
        <f t="shared" si="19"/>
        <v>3067.3982624695623</v>
      </c>
      <c r="AR100" s="7">
        <f t="shared" si="20"/>
        <v>9536.3502339159513</v>
      </c>
      <c r="AS100" s="7"/>
      <c r="AT100" s="7">
        <f t="shared" si="21"/>
        <v>6190.996563251083</v>
      </c>
      <c r="AU100" s="7">
        <f t="shared" si="22"/>
        <v>2383.1476732087913</v>
      </c>
      <c r="AV100" s="7"/>
      <c r="AX100" s="7">
        <f t="shared" si="23"/>
        <v>1147.3368295628102</v>
      </c>
      <c r="AY100" s="7">
        <f t="shared" si="24"/>
        <v>-137.98113588664418</v>
      </c>
      <c r="BB100" s="7">
        <f t="shared" si="25"/>
        <v>-295.57564450604951</v>
      </c>
      <c r="BC100" s="7">
        <f t="shared" si="26"/>
        <v>5.9410071684738019</v>
      </c>
      <c r="BF100" s="7">
        <f t="shared" si="27"/>
        <v>-198.81130204486129</v>
      </c>
      <c r="BG100" s="7">
        <f t="shared" si="28"/>
        <v>-604.6687641698627</v>
      </c>
      <c r="BI100" s="10">
        <f t="shared" si="29"/>
        <v>652.94988301189937</v>
      </c>
      <c r="BJ100">
        <f t="shared" si="30"/>
        <v>-736.70889288803312</v>
      </c>
    </row>
    <row r="101" spans="42:62" x14ac:dyDescent="0.25">
      <c r="AP101" s="1">
        <v>96</v>
      </c>
      <c r="AQ101" s="7">
        <f t="shared" si="19"/>
        <v>6244.5152794715905</v>
      </c>
      <c r="AR101" s="7">
        <f t="shared" si="20"/>
        <v>10635.835458909341</v>
      </c>
      <c r="AS101" s="7"/>
      <c r="AT101" s="7">
        <f t="shared" si="21"/>
        <v>6517.4715047570326</v>
      </c>
      <c r="AU101" s="7">
        <f t="shared" si="22"/>
        <v>2014.7932267647748</v>
      </c>
      <c r="AV101" s="7"/>
      <c r="AX101" s="7">
        <f t="shared" si="23"/>
        <v>1392.7261489624091</v>
      </c>
      <c r="AY101" s="7">
        <f t="shared" si="24"/>
        <v>-317.49953790787288</v>
      </c>
      <c r="BB101" s="7">
        <f t="shared" si="25"/>
        <v>-235.01137577901034</v>
      </c>
      <c r="BC101" s="7">
        <f t="shared" si="26"/>
        <v>-5.6937064516579374</v>
      </c>
      <c r="BF101" s="7">
        <f t="shared" si="27"/>
        <v>-224.14541602141017</v>
      </c>
      <c r="BG101" s="7">
        <f t="shared" si="28"/>
        <v>-511.0184708881182</v>
      </c>
      <c r="BI101" s="10">
        <f t="shared" si="29"/>
        <v>933.56935716198859</v>
      </c>
      <c r="BJ101">
        <f t="shared" si="30"/>
        <v>-834.21171524764907</v>
      </c>
    </row>
    <row r="102" spans="42:62" x14ac:dyDescent="0.25">
      <c r="AP102" s="1">
        <v>97</v>
      </c>
      <c r="AQ102" s="7">
        <f t="shared" si="19"/>
        <v>9619.9472014953553</v>
      </c>
      <c r="AR102" s="7">
        <f t="shared" si="20"/>
        <v>11538.955607885773</v>
      </c>
      <c r="AS102" s="7"/>
      <c r="AT102" s="7">
        <f t="shared" si="21"/>
        <v>6984.2561833380269</v>
      </c>
      <c r="AU102" s="7">
        <f t="shared" si="22"/>
        <v>1597.6873691409503</v>
      </c>
      <c r="AV102" s="7"/>
      <c r="AX102" s="7">
        <f t="shared" si="23"/>
        <v>1620.5244494125443</v>
      </c>
      <c r="AY102" s="7">
        <f t="shared" si="24"/>
        <v>-630.55809442642806</v>
      </c>
      <c r="BB102" s="7">
        <f t="shared" si="25"/>
        <v>-187.95638365000551</v>
      </c>
      <c r="BC102" s="7">
        <f t="shared" si="26"/>
        <v>-9.7655991311659989</v>
      </c>
      <c r="BF102" s="7">
        <f t="shared" si="27"/>
        <v>-235.65952162773445</v>
      </c>
      <c r="BG102" s="7">
        <f t="shared" si="28"/>
        <v>-427.78250132219051</v>
      </c>
      <c r="BI102" s="10">
        <f t="shared" si="29"/>
        <v>1196.9085441348043</v>
      </c>
      <c r="BJ102">
        <f t="shared" si="30"/>
        <v>-1068.1061948797847</v>
      </c>
    </row>
    <row r="103" spans="42:62" x14ac:dyDescent="0.25">
      <c r="AP103" s="1">
        <v>98</v>
      </c>
      <c r="AQ103" s="7">
        <f t="shared" si="19"/>
        <v>13261.688861181219</v>
      </c>
      <c r="AR103" s="7">
        <f t="shared" si="20"/>
        <v>12204.286018096274</v>
      </c>
      <c r="AS103" s="7"/>
      <c r="AT103" s="7">
        <f t="shared" si="21"/>
        <v>7582.7104554054295</v>
      </c>
      <c r="AU103" s="7">
        <f t="shared" si="22"/>
        <v>1063.634271701058</v>
      </c>
      <c r="AV103" s="7"/>
      <c r="AX103" s="7">
        <f t="shared" si="23"/>
        <v>1627.0121573930587</v>
      </c>
      <c r="AY103" s="7">
        <f t="shared" si="24"/>
        <v>-1135.8826248320952</v>
      </c>
      <c r="BB103" s="7">
        <f t="shared" si="25"/>
        <v>-151.16053084603496</v>
      </c>
      <c r="BC103" s="7">
        <f t="shared" si="26"/>
        <v>-10.017562428130192</v>
      </c>
      <c r="BF103" s="7">
        <f t="shared" si="27"/>
        <v>-237.83745520462674</v>
      </c>
      <c r="BG103" s="7">
        <f t="shared" si="28"/>
        <v>-354.3044789771057</v>
      </c>
      <c r="BI103" s="10">
        <f t="shared" si="29"/>
        <v>1238.014171342397</v>
      </c>
      <c r="BJ103">
        <f t="shared" si="30"/>
        <v>-1500.2046662373311</v>
      </c>
    </row>
    <row r="104" spans="42:62" x14ac:dyDescent="0.25">
      <c r="AP104" s="1">
        <v>99</v>
      </c>
      <c r="AQ104" s="7">
        <f t="shared" si="19"/>
        <v>17207.795860301732</v>
      </c>
      <c r="AR104" s="7">
        <f t="shared" si="20"/>
        <v>12548.577570667137</v>
      </c>
      <c r="AS104" s="7"/>
      <c r="AT104" s="7">
        <f t="shared" si="21"/>
        <v>8201.7175410766285</v>
      </c>
      <c r="AU104" s="7">
        <f t="shared" si="22"/>
        <v>313.5319385823924</v>
      </c>
      <c r="AV104" s="7"/>
      <c r="AX104" s="7">
        <f t="shared" si="23"/>
        <v>950.11489254525793</v>
      </c>
      <c r="AY104" s="7">
        <f t="shared" si="24"/>
        <v>-1717.9004456956191</v>
      </c>
      <c r="BB104" s="7">
        <f t="shared" si="25"/>
        <v>-122.29853573234422</v>
      </c>
      <c r="BC104" s="7">
        <f t="shared" si="26"/>
        <v>-8.3769354751119707</v>
      </c>
      <c r="BF104" s="7">
        <f t="shared" si="27"/>
        <v>-233.87612313126763</v>
      </c>
      <c r="BG104" s="7">
        <f t="shared" si="28"/>
        <v>-290.12129616725895</v>
      </c>
      <c r="BI104" s="10">
        <f t="shared" si="29"/>
        <v>593.94023368164608</v>
      </c>
      <c r="BJ104">
        <f t="shared" si="30"/>
        <v>-2016.39867733799</v>
      </c>
    </row>
    <row r="105" spans="42:62" x14ac:dyDescent="0.25">
      <c r="AP105" s="1">
        <v>100</v>
      </c>
      <c r="AQ105" s="7">
        <f t="shared" si="19"/>
        <v>21382.897160050252</v>
      </c>
      <c r="AR105" s="7">
        <f t="shared" si="20"/>
        <v>12453.293705291086</v>
      </c>
      <c r="AS105" s="7"/>
      <c r="AT105" s="7">
        <f t="shared" si="21"/>
        <v>8498.6876579174514</v>
      </c>
      <c r="AU105" s="7">
        <f t="shared" si="22"/>
        <v>-694.66740008660258</v>
      </c>
      <c r="AV105" s="7"/>
      <c r="AX105" s="7">
        <f t="shared" si="23"/>
        <v>-509.24059530535374</v>
      </c>
      <c r="AY105" s="7">
        <f t="shared" si="24"/>
        <v>-1824.0099900942989</v>
      </c>
      <c r="BB105" s="7">
        <f t="shared" si="25"/>
        <v>-100.0118232624995</v>
      </c>
      <c r="BC105" s="7">
        <f t="shared" si="26"/>
        <v>-5.9289801657829759</v>
      </c>
      <c r="BF105" s="7">
        <f t="shared" si="27"/>
        <v>-226.42928313980758</v>
      </c>
      <c r="BG105" s="7">
        <f t="shared" si="28"/>
        <v>-235.61588311568934</v>
      </c>
      <c r="BI105" s="10">
        <f t="shared" si="29"/>
        <v>-835.68170170766075</v>
      </c>
      <c r="BJ105">
        <f t="shared" si="30"/>
        <v>-2065.554853375771</v>
      </c>
    </row>
    <row r="106" spans="42:62" x14ac:dyDescent="0.25">
      <c r="AP106" s="1">
        <v>101</v>
      </c>
      <c r="AQ106" s="7">
        <f t="shared" si="19"/>
        <v>25527.78077629552</v>
      </c>
      <c r="AR106" s="7">
        <f t="shared" si="20"/>
        <v>11847.765648575813</v>
      </c>
      <c r="AS106" s="7"/>
      <c r="AT106" s="7">
        <f t="shared" si="21"/>
        <v>8080.8468070636209</v>
      </c>
      <c r="AU106" s="7">
        <f t="shared" si="22"/>
        <v>-1727.4448267744881</v>
      </c>
      <c r="AV106" s="7"/>
      <c r="AX106" s="7">
        <f t="shared" si="23"/>
        <v>-1584.0338812481536</v>
      </c>
      <c r="AY106" s="7">
        <f t="shared" si="24"/>
        <v>-1245.8902358436719</v>
      </c>
      <c r="BB106" s="7">
        <f t="shared" si="25"/>
        <v>-83.458704714524956</v>
      </c>
      <c r="BC106" s="7">
        <f t="shared" si="26"/>
        <v>-3.3872094140468949</v>
      </c>
      <c r="BF106" s="7">
        <f t="shared" si="27"/>
        <v>-217.82848262319487</v>
      </c>
      <c r="BG106" s="7">
        <f t="shared" si="28"/>
        <v>-191.57003569658337</v>
      </c>
      <c r="BI106" s="10">
        <f t="shared" si="29"/>
        <v>-1885.3210685858735</v>
      </c>
      <c r="BJ106">
        <f t="shared" si="30"/>
        <v>-1440.8474809543022</v>
      </c>
    </row>
    <row r="107" spans="42:62" x14ac:dyDescent="0.25">
      <c r="AP107" s="1">
        <v>102</v>
      </c>
      <c r="AQ107" s="7">
        <f t="shared" si="19"/>
        <v>29332.539046254096</v>
      </c>
      <c r="AR107" s="7">
        <f t="shared" si="20"/>
        <v>10803.937300069281</v>
      </c>
      <c r="AS107" s="7"/>
      <c r="AT107" s="7">
        <f t="shared" si="21"/>
        <v>7138.1862727706839</v>
      </c>
      <c r="AU107" s="7">
        <f t="shared" si="22"/>
        <v>-2447.8685672516394</v>
      </c>
      <c r="AV107" s="7"/>
      <c r="AX107" s="7">
        <f t="shared" si="23"/>
        <v>-1753.7198960975129</v>
      </c>
      <c r="AY107" s="7">
        <f t="shared" si="24"/>
        <v>-620.85789835681112</v>
      </c>
      <c r="BB107" s="7">
        <f t="shared" si="25"/>
        <v>-71.592978894654649</v>
      </c>
      <c r="BC107" s="7">
        <f t="shared" si="26"/>
        <v>-1.1666998550899852</v>
      </c>
      <c r="BF107" s="7">
        <f t="shared" si="27"/>
        <v>-209.63817633302173</v>
      </c>
      <c r="BG107" s="7">
        <f t="shared" si="28"/>
        <v>-157.56161670741244</v>
      </c>
      <c r="BI107" s="10">
        <f t="shared" si="29"/>
        <v>-2034.9510513251894</v>
      </c>
      <c r="BJ107">
        <f t="shared" si="30"/>
        <v>-779.58621491931353</v>
      </c>
    </row>
    <row r="108" spans="42:62" x14ac:dyDescent="0.25">
      <c r="AP108" s="1">
        <v>103</v>
      </c>
      <c r="AQ108" s="7">
        <f t="shared" si="19"/>
        <v>32647.263301223793</v>
      </c>
      <c r="AR108" s="7">
        <f t="shared" si="20"/>
        <v>9482.554739578547</v>
      </c>
      <c r="AS108" s="7"/>
      <c r="AT108" s="7">
        <f t="shared" si="21"/>
        <v>6120.710747108089</v>
      </c>
      <c r="AU108" s="7">
        <f t="shared" si="22"/>
        <v>-2837.6616747112962</v>
      </c>
      <c r="AV108" s="7"/>
      <c r="AX108" s="7">
        <f t="shared" si="23"/>
        <v>-1544.8136824274313</v>
      </c>
      <c r="AY108" s="7">
        <f t="shared" si="24"/>
        <v>-242.1612972638861</v>
      </c>
      <c r="BB108" s="7">
        <f t="shared" si="25"/>
        <v>-63.1049508583639</v>
      </c>
      <c r="BC108" s="7">
        <f t="shared" si="26"/>
        <v>0.62022896696379792</v>
      </c>
      <c r="BF108" s="7">
        <f t="shared" si="27"/>
        <v>-202.4134654434896</v>
      </c>
      <c r="BG108" s="7">
        <f t="shared" si="28"/>
        <v>-131.63237678386395</v>
      </c>
      <c r="BI108" s="10">
        <f t="shared" si="29"/>
        <v>-1810.3320987292848</v>
      </c>
      <c r="BJ108">
        <f t="shared" si="30"/>
        <v>-373.17344508078622</v>
      </c>
    </row>
    <row r="109" spans="42:62" x14ac:dyDescent="0.25">
      <c r="AP109" s="1">
        <v>104</v>
      </c>
      <c r="AQ109" s="7">
        <f t="shared" si="19"/>
        <v>35481.327162436683</v>
      </c>
      <c r="AR109" s="7">
        <f t="shared" si="20"/>
        <v>8017.0772215878005</v>
      </c>
      <c r="AS109" s="7"/>
      <c r="AT109" s="7">
        <f t="shared" si="21"/>
        <v>5215.5446977434467</v>
      </c>
      <c r="AU109" s="7">
        <f t="shared" si="22"/>
        <v>-3024.2483972516893</v>
      </c>
      <c r="AV109" s="7"/>
      <c r="AX109" s="7">
        <f t="shared" si="23"/>
        <v>-1293.3188017684301</v>
      </c>
      <c r="AY109" s="7">
        <f t="shared" si="24"/>
        <v>-43.196922694606108</v>
      </c>
      <c r="BB109" s="7">
        <f t="shared" si="25"/>
        <v>-56.871170826516462</v>
      </c>
      <c r="BC109" s="7">
        <f t="shared" si="26"/>
        <v>2.0325962956275836</v>
      </c>
      <c r="BF109" s="7">
        <f t="shared" si="27"/>
        <v>-196.17261683745289</v>
      </c>
      <c r="BG109" s="7">
        <f t="shared" si="28"/>
        <v>-111.54081614938879</v>
      </c>
      <c r="BI109" s="10">
        <f t="shared" si="29"/>
        <v>-1546.3625894323995</v>
      </c>
      <c r="BJ109">
        <f t="shared" si="30"/>
        <v>-152.70514254836732</v>
      </c>
    </row>
    <row r="110" spans="42:62" x14ac:dyDescent="0.25">
      <c r="AP110" s="1">
        <v>105</v>
      </c>
      <c r="AQ110" s="7">
        <f t="shared" si="19"/>
        <v>37895.804187629357</v>
      </c>
      <c r="AR110" s="7">
        <f t="shared" si="20"/>
        <v>6485.8648801434101</v>
      </c>
      <c r="AS110" s="7"/>
      <c r="AT110" s="7">
        <f t="shared" si="21"/>
        <v>4442.3634030272469</v>
      </c>
      <c r="AU110" s="7">
        <f t="shared" si="22"/>
        <v>-3100.6009685258728</v>
      </c>
      <c r="AV110" s="7"/>
      <c r="AX110" s="7">
        <f t="shared" si="23"/>
        <v>-1083.6293990981746</v>
      </c>
      <c r="AY110" s="7">
        <f t="shared" si="24"/>
        <v>61.408060739411141</v>
      </c>
      <c r="BB110" s="7">
        <f t="shared" si="25"/>
        <v>-52.141466304809548</v>
      </c>
      <c r="BC110" s="7">
        <f t="shared" si="26"/>
        <v>3.1648607444630961</v>
      </c>
      <c r="BF110" s="7">
        <f t="shared" si="27"/>
        <v>-190.8259174395395</v>
      </c>
      <c r="BG110" s="7">
        <f t="shared" si="28"/>
        <v>-95.581839655025192</v>
      </c>
      <c r="BI110" s="10">
        <f t="shared" si="29"/>
        <v>-1326.5967828425237</v>
      </c>
      <c r="BJ110">
        <f t="shared" si="30"/>
        <v>-31.008918171150953</v>
      </c>
    </row>
    <row r="111" spans="42:62" x14ac:dyDescent="0.25">
      <c r="AP111" s="1">
        <v>106</v>
      </c>
      <c r="AQ111" s="7">
        <f t="shared" si="19"/>
        <v>39951.161291287666</v>
      </c>
      <c r="AR111" s="7">
        <f t="shared" si="20"/>
        <v>4931.68828110908</v>
      </c>
      <c r="AS111" s="7"/>
      <c r="AT111" s="7">
        <f t="shared" si="21"/>
        <v>3779.0650116059851</v>
      </c>
      <c r="AU111" s="7">
        <f t="shared" si="22"/>
        <v>-3116.1054276114482</v>
      </c>
      <c r="AV111" s="7"/>
      <c r="AX111" s="7">
        <f t="shared" si="23"/>
        <v>-921.48391755150703</v>
      </c>
      <c r="AY111" s="7">
        <f t="shared" si="24"/>
        <v>118.62256585788462</v>
      </c>
      <c r="BB111" s="7">
        <f t="shared" si="25"/>
        <v>-48.450587105726143</v>
      </c>
      <c r="BC111" s="7">
        <f t="shared" si="26"/>
        <v>4.0960453997207766</v>
      </c>
      <c r="BF111" s="7">
        <f t="shared" si="27"/>
        <v>-186.28900760023737</v>
      </c>
      <c r="BG111" s="7">
        <f t="shared" si="28"/>
        <v>-82.601968959692869</v>
      </c>
      <c r="BI111" s="10">
        <f t="shared" si="29"/>
        <v>-1156.2235122574705</v>
      </c>
      <c r="BJ111">
        <f t="shared" si="30"/>
        <v>40.116642297912534</v>
      </c>
    </row>
    <row r="112" spans="42:62" x14ac:dyDescent="0.25">
      <c r="AP112" s="1">
        <v>107</v>
      </c>
      <c r="AQ112" s="7">
        <f t="shared" si="19"/>
        <v>41696.165858058477</v>
      </c>
      <c r="AR112" s="7">
        <f t="shared" si="20"/>
        <v>3378.6501475905948</v>
      </c>
      <c r="AS112" s="7"/>
      <c r="AT112" s="7">
        <f t="shared" si="21"/>
        <v>3200.95325547725</v>
      </c>
      <c r="AU112" s="7">
        <f t="shared" si="22"/>
        <v>-3096.0471064624921</v>
      </c>
      <c r="AV112" s="7"/>
      <c r="AX112" s="7">
        <f t="shared" si="23"/>
        <v>-797.32971531147405</v>
      </c>
      <c r="AY112" s="7">
        <f t="shared" si="24"/>
        <v>151.45877506739512</v>
      </c>
      <c r="BB112" s="7">
        <f t="shared" si="25"/>
        <v>-45.506953987369599</v>
      </c>
      <c r="BC112" s="7">
        <f t="shared" si="26"/>
        <v>4.8838928461308031</v>
      </c>
      <c r="BF112" s="7">
        <f t="shared" si="27"/>
        <v>-182.49420271772698</v>
      </c>
      <c r="BG112" s="7">
        <f t="shared" si="28"/>
        <v>-71.825963525735006</v>
      </c>
      <c r="BI112" s="10">
        <f t="shared" si="29"/>
        <v>-1025.3308720165705</v>
      </c>
      <c r="BJ112">
        <f t="shared" si="30"/>
        <v>84.516704387790924</v>
      </c>
    </row>
    <row r="113" spans="42:62" x14ac:dyDescent="0.25">
      <c r="AP113" s="1">
        <v>108</v>
      </c>
      <c r="AQ113" s="7">
        <f t="shared" si="19"/>
        <v>43168.476126795031</v>
      </c>
      <c r="AR113" s="7">
        <f t="shared" si="20"/>
        <v>1841.1911824078225</v>
      </c>
      <c r="AS113" s="7"/>
      <c r="AT113" s="7">
        <f t="shared" si="21"/>
        <v>2688.2878194689647</v>
      </c>
      <c r="AU113" s="7">
        <f t="shared" si="22"/>
        <v>-3053.7887542685967</v>
      </c>
      <c r="AV113" s="7"/>
      <c r="AX113" s="7">
        <f t="shared" si="23"/>
        <v>-701.37664853938543</v>
      </c>
      <c r="AY113" s="7">
        <f t="shared" si="24"/>
        <v>171.30847715174966</v>
      </c>
      <c r="BB113" s="7">
        <f t="shared" si="25"/>
        <v>-43.121402840694067</v>
      </c>
      <c r="BC113" s="7">
        <f t="shared" si="26"/>
        <v>5.5695388474689382</v>
      </c>
      <c r="BF113" s="7">
        <f t="shared" si="27"/>
        <v>-179.38783262902408</v>
      </c>
      <c r="BG113" s="7">
        <f t="shared" si="28"/>
        <v>-62.719542489794463</v>
      </c>
      <c r="BI113" s="10">
        <f t="shared" si="29"/>
        <v>-923.88588400910362</v>
      </c>
      <c r="BJ113">
        <f t="shared" si="30"/>
        <v>114.15847350942414</v>
      </c>
    </row>
    <row r="114" spans="42:62" x14ac:dyDescent="0.25">
      <c r="AP114" s="1">
        <v>109</v>
      </c>
      <c r="AQ114" s="7">
        <f t="shared" si="19"/>
        <v>44397.134301028374</v>
      </c>
      <c r="AR114" s="7">
        <f t="shared" si="20"/>
        <v>328.56661446220215</v>
      </c>
      <c r="AS114" s="7"/>
      <c r="AT114" s="7">
        <f t="shared" si="21"/>
        <v>2226.344877464413</v>
      </c>
      <c r="AU114" s="7">
        <f t="shared" si="22"/>
        <v>-2996.7095175138847</v>
      </c>
      <c r="AV114" s="7"/>
      <c r="AX114" s="7">
        <f t="shared" si="23"/>
        <v>-626.12661883837507</v>
      </c>
      <c r="AY114" s="7">
        <f t="shared" si="24"/>
        <v>184.0472443405844</v>
      </c>
      <c r="BB114" s="7">
        <f t="shared" si="25"/>
        <v>-41.166609017039519</v>
      </c>
      <c r="BC114" s="7">
        <f t="shared" si="26"/>
        <v>6.1825750654624914</v>
      </c>
      <c r="BF114" s="7">
        <f t="shared" si="27"/>
        <v>-176.92779937444735</v>
      </c>
      <c r="BG114" s="7">
        <f t="shared" si="28"/>
        <v>-54.902973563892743</v>
      </c>
      <c r="BI114" s="10">
        <f t="shared" si="29"/>
        <v>-844.22102722986187</v>
      </c>
      <c r="BJ114">
        <f t="shared" si="30"/>
        <v>135.32684584215414</v>
      </c>
    </row>
    <row r="115" spans="42:62" x14ac:dyDescent="0.25">
      <c r="AP115" s="1">
        <v>110</v>
      </c>
      <c r="AQ115" s="7">
        <f t="shared" si="19"/>
        <v>45404.779111356846</v>
      </c>
      <c r="AR115" s="7">
        <f t="shared" si="20"/>
        <v>-1152.8722885644711</v>
      </c>
      <c r="AS115" s="7"/>
      <c r="AT115" s="7">
        <f t="shared" si="21"/>
        <v>1804.2343638494822</v>
      </c>
      <c r="AU115" s="7">
        <f t="shared" si="22"/>
        <v>-2929.0460945928075</v>
      </c>
      <c r="AV115" s="7"/>
      <c r="AX115" s="7">
        <f t="shared" si="23"/>
        <v>-566.20647532907378</v>
      </c>
      <c r="AY115" s="7">
        <f t="shared" si="24"/>
        <v>192.85002630826014</v>
      </c>
      <c r="BB115" s="7">
        <f t="shared" si="25"/>
        <v>-39.554027055763882</v>
      </c>
      <c r="BC115" s="7">
        <f t="shared" si="26"/>
        <v>6.7447825410476607</v>
      </c>
      <c r="BF115" s="7">
        <f t="shared" si="27"/>
        <v>-175.08219304030106</v>
      </c>
      <c r="BG115" s="7">
        <f t="shared" si="28"/>
        <v>-48.098325789131614</v>
      </c>
      <c r="BI115" s="10">
        <f t="shared" si="29"/>
        <v>-780.8426954251388</v>
      </c>
      <c r="BJ115">
        <f t="shared" si="30"/>
        <v>151.49648306017619</v>
      </c>
    </row>
    <row r="116" spans="42:62" x14ac:dyDescent="0.25">
      <c r="AP116" s="1">
        <v>111</v>
      </c>
      <c r="AQ116" s="7">
        <f t="shared" si="19"/>
        <v>46209.290956353441</v>
      </c>
      <c r="AR116" s="7">
        <f t="shared" si="20"/>
        <v>-2598.4582754783532</v>
      </c>
      <c r="AS116" s="7"/>
      <c r="AT116" s="7">
        <f t="shared" si="21"/>
        <v>1413.8130161369127</v>
      </c>
      <c r="AU116" s="7">
        <f t="shared" si="22"/>
        <v>-2853.2978530627192</v>
      </c>
      <c r="AV116" s="7"/>
      <c r="AX116" s="7">
        <f t="shared" si="23"/>
        <v>-517.80982956876676</v>
      </c>
      <c r="AY116" s="7">
        <f t="shared" si="24"/>
        <v>199.51249223951851</v>
      </c>
      <c r="BB116" s="7">
        <f t="shared" si="25"/>
        <v>-38.220398460072843</v>
      </c>
      <c r="BC116" s="7">
        <f t="shared" si="26"/>
        <v>7.2726665444704981</v>
      </c>
      <c r="BF116" s="7">
        <f t="shared" si="27"/>
        <v>-173.82854338983972</v>
      </c>
      <c r="BG116" s="7">
        <f t="shared" si="28"/>
        <v>-42.096695609382579</v>
      </c>
      <c r="BI116" s="10">
        <f t="shared" si="29"/>
        <v>-729.85877141867934</v>
      </c>
      <c r="BJ116">
        <f t="shared" si="30"/>
        <v>164.68846317460643</v>
      </c>
    </row>
    <row r="117" spans="42:62" x14ac:dyDescent="0.25">
      <c r="AP117" s="1">
        <v>112</v>
      </c>
      <c r="AQ117" s="7">
        <f t="shared" si="19"/>
        <v>46824.965117994565</v>
      </c>
      <c r="AR117" s="7">
        <f t="shared" si="20"/>
        <v>-4004.5211441128868</v>
      </c>
      <c r="AS117" s="7"/>
      <c r="AT117" s="7">
        <f t="shared" si="21"/>
        <v>1048.8836304275731</v>
      </c>
      <c r="AU117" s="7">
        <f t="shared" si="22"/>
        <v>-2770.9536214754162</v>
      </c>
      <c r="AV117" s="7"/>
      <c r="AX117" s="7">
        <f t="shared" si="23"/>
        <v>-478.22070848083121</v>
      </c>
      <c r="AY117" s="7">
        <f t="shared" si="24"/>
        <v>205.09626864639424</v>
      </c>
      <c r="BB117" s="7">
        <f t="shared" si="25"/>
        <v>-37.119571671015862</v>
      </c>
      <c r="BC117" s="7">
        <f t="shared" si="26"/>
        <v>7.7791559697675439</v>
      </c>
      <c r="BF117" s="7">
        <f t="shared" si="27"/>
        <v>-173.15344921675475</v>
      </c>
      <c r="BG117" s="7">
        <f t="shared" si="28"/>
        <v>-36.737218932071784</v>
      </c>
      <c r="BI117" s="10">
        <f t="shared" si="29"/>
        <v>-688.49372936860186</v>
      </c>
      <c r="BJ117">
        <f t="shared" si="30"/>
        <v>176.13820568409</v>
      </c>
    </row>
    <row r="118" spans="42:62" x14ac:dyDescent="0.25">
      <c r="AP118" s="1">
        <v>113</v>
      </c>
      <c r="AQ118" s="7">
        <f t="shared" si="19"/>
        <v>47263.345217037277</v>
      </c>
      <c r="AR118" s="7">
        <f t="shared" si="20"/>
        <v>-5367.9806791400833</v>
      </c>
      <c r="AS118" s="7"/>
      <c r="AT118" s="7">
        <f t="shared" si="21"/>
        <v>704.63676574327212</v>
      </c>
      <c r="AU118" s="7">
        <f t="shared" si="22"/>
        <v>-2682.884518633371</v>
      </c>
      <c r="AV118" s="7"/>
      <c r="AX118" s="7">
        <f t="shared" si="23"/>
        <v>-445.47340013751608</v>
      </c>
      <c r="AY118" s="7">
        <f t="shared" si="24"/>
        <v>210.25824455533686</v>
      </c>
      <c r="BB118" s="7">
        <f t="shared" si="25"/>
        <v>-36.217370602619297</v>
      </c>
      <c r="BC118" s="7">
        <f t="shared" si="26"/>
        <v>8.2747572228883151</v>
      </c>
      <c r="BF118" s="7">
        <f t="shared" si="27"/>
        <v>-173.0524908349625</v>
      </c>
      <c r="BG118" s="7">
        <f t="shared" si="28"/>
        <v>-31.893192606085215</v>
      </c>
      <c r="BI118" s="10">
        <f t="shared" si="29"/>
        <v>-654.7432615750979</v>
      </c>
      <c r="BJ118">
        <f t="shared" si="30"/>
        <v>186.63980917213996</v>
      </c>
    </row>
    <row r="119" spans="42:62" x14ac:dyDescent="0.25">
      <c r="AP119" s="1">
        <v>114</v>
      </c>
      <c r="AQ119" s="7">
        <f t="shared" si="19"/>
        <v>47533.820692212023</v>
      </c>
      <c r="AR119" s="7">
        <f t="shared" si="20"/>
        <v>-6686.0929623102511</v>
      </c>
      <c r="AS119" s="7"/>
      <c r="AT119" s="7">
        <f t="shared" si="21"/>
        <v>377.26513495572317</v>
      </c>
      <c r="AU119" s="7">
        <f t="shared" si="22"/>
        <v>-2589.5646140473009</v>
      </c>
      <c r="AV119" s="7"/>
      <c r="AX119" s="7">
        <f t="shared" si="23"/>
        <v>-418.12091213128656</v>
      </c>
      <c r="AY119" s="7">
        <f t="shared" si="24"/>
        <v>215.42604621733884</v>
      </c>
      <c r="BB119" s="7">
        <f t="shared" si="25"/>
        <v>-35.488278344062032</v>
      </c>
      <c r="BC119" s="7">
        <f t="shared" si="26"/>
        <v>8.7683579198066681</v>
      </c>
      <c r="BF119" s="7">
        <f t="shared" si="27"/>
        <v>-173.53041144633329</v>
      </c>
      <c r="BG119" s="7">
        <f t="shared" si="28"/>
        <v>-27.462607706177103</v>
      </c>
      <c r="BI119" s="10">
        <f t="shared" si="29"/>
        <v>-627.1396019216819</v>
      </c>
      <c r="BJ119">
        <f t="shared" si="30"/>
        <v>196.73179643096842</v>
      </c>
    </row>
    <row r="120" spans="42:62" x14ac:dyDescent="0.25">
      <c r="AP120" s="1">
        <v>115</v>
      </c>
      <c r="AQ120" s="7">
        <f t="shared" si="19"/>
        <v>47644.060809449678</v>
      </c>
      <c r="AR120" s="7">
        <f t="shared" si="20"/>
        <v>-7956.2837947800299</v>
      </c>
      <c r="AS120" s="7"/>
      <c r="AT120" s="7">
        <f t="shared" si="21"/>
        <v>63.695333994882219</v>
      </c>
      <c r="AU120" s="7">
        <f t="shared" si="22"/>
        <v>-2491.1987158318166</v>
      </c>
      <c r="AV120" s="7"/>
      <c r="AX120" s="7">
        <f t="shared" si="23"/>
        <v>-395.07865280828463</v>
      </c>
      <c r="AY120" s="7">
        <f t="shared" si="24"/>
        <v>220.89546905412772</v>
      </c>
      <c r="BB120" s="7">
        <f t="shared" si="25"/>
        <v>-34.913242012225332</v>
      </c>
      <c r="BC120" s="7">
        <f t="shared" si="26"/>
        <v>9.2678067263486543</v>
      </c>
      <c r="BF120" s="7">
        <f t="shared" si="27"/>
        <v>-174.60159177583233</v>
      </c>
      <c r="BG120" s="7">
        <f t="shared" si="28"/>
        <v>-23.361496862868783</v>
      </c>
      <c r="BI120" s="10">
        <f t="shared" si="29"/>
        <v>-604.59348659634225</v>
      </c>
      <c r="BJ120">
        <f t="shared" si="30"/>
        <v>206.80177891760758</v>
      </c>
    </row>
    <row r="121" spans="42:62" x14ac:dyDescent="0.25">
      <c r="AP121" s="1">
        <v>116</v>
      </c>
      <c r="AQ121" s="7">
        <f t="shared" si="19"/>
        <v>47600.334290622573</v>
      </c>
      <c r="AR121" s="7">
        <f t="shared" si="20"/>
        <v>-9176.0329303312374</v>
      </c>
      <c r="AS121" s="7"/>
      <c r="AT121" s="7">
        <f t="shared" si="21"/>
        <v>-238.6014093032889</v>
      </c>
      <c r="AU121" s="7">
        <f t="shared" si="22"/>
        <v>-2387.7978263730129</v>
      </c>
      <c r="AV121" s="7"/>
      <c r="AX121" s="7">
        <f t="shared" si="23"/>
        <v>-375.51805310981564</v>
      </c>
      <c r="AY121" s="7">
        <f t="shared" si="24"/>
        <v>226.8867961400299</v>
      </c>
      <c r="BB121" s="7">
        <f t="shared" si="25"/>
        <v>-34.478195508554506</v>
      </c>
      <c r="BC121" s="7">
        <f t="shared" si="26"/>
        <v>9.7803512273777979</v>
      </c>
      <c r="BF121" s="7">
        <f t="shared" si="27"/>
        <v>-176.29086711052614</v>
      </c>
      <c r="BG121" s="7">
        <f t="shared" si="28"/>
        <v>-19.519119385484501</v>
      </c>
      <c r="BI121" s="10">
        <f t="shared" si="29"/>
        <v>-586.28711572889631</v>
      </c>
      <c r="BJ121">
        <f t="shared" si="30"/>
        <v>217.14802798192321</v>
      </c>
    </row>
    <row r="122" spans="42:62" x14ac:dyDescent="0.25">
      <c r="AP122" s="1">
        <v>117</v>
      </c>
      <c r="AQ122" s="7">
        <f t="shared" si="19"/>
        <v>47407.747696504819</v>
      </c>
      <c r="AR122" s="7">
        <f t="shared" si="20"/>
        <v>-10342.788340020004</v>
      </c>
      <c r="AS122" s="7"/>
      <c r="AT122" s="7">
        <f t="shared" si="21"/>
        <v>-531.74496716773706</v>
      </c>
      <c r="AU122" s="7">
        <f t="shared" si="22"/>
        <v>-2279.2238123820512</v>
      </c>
      <c r="AV122" s="7"/>
      <c r="AX122" s="7">
        <f t="shared" si="23"/>
        <v>-358.79297466080595</v>
      </c>
      <c r="AY122" s="7">
        <f t="shared" si="24"/>
        <v>233.57873750331265</v>
      </c>
      <c r="BB122" s="7">
        <f t="shared" si="25"/>
        <v>-34.173059194423217</v>
      </c>
      <c r="BC122" s="7">
        <f t="shared" si="26"/>
        <v>10.312988252523557</v>
      </c>
      <c r="BF122" s="7">
        <f t="shared" si="27"/>
        <v>-178.63476010132081</v>
      </c>
      <c r="BG122" s="7">
        <f t="shared" si="28"/>
        <v>-15.874368279274181</v>
      </c>
      <c r="BI122" s="10">
        <f t="shared" si="29"/>
        <v>-571.60079395654998</v>
      </c>
      <c r="BJ122">
        <f t="shared" si="30"/>
        <v>228.01735747656204</v>
      </c>
    </row>
    <row r="123" spans="42:62" x14ac:dyDescent="0.25">
      <c r="AP123" s="1">
        <v>118</v>
      </c>
      <c r="AQ123" s="7">
        <f t="shared" si="19"/>
        <v>47070.425113676385</v>
      </c>
      <c r="AR123" s="7">
        <f t="shared" si="20"/>
        <v>-11453.898076526459</v>
      </c>
      <c r="AS123" s="7"/>
      <c r="AT123" s="7">
        <f t="shared" si="21"/>
        <v>-817.54536414601205</v>
      </c>
      <c r="AU123" s="7">
        <f t="shared" si="22"/>
        <v>-2165.2151336437701</v>
      </c>
      <c r="AV123" s="7"/>
      <c r="AX123" s="7">
        <f t="shared" si="23"/>
        <v>-344.38761627656754</v>
      </c>
      <c r="AY123" s="7">
        <f t="shared" si="24"/>
        <v>241.12985851951692</v>
      </c>
      <c r="BB123" s="7">
        <f t="shared" si="25"/>
        <v>-33.991069422667131</v>
      </c>
      <c r="BC123" s="7">
        <f t="shared" si="26"/>
        <v>10.87276452579597</v>
      </c>
      <c r="BF123" s="7">
        <f t="shared" si="27"/>
        <v>-181.68323341356933</v>
      </c>
      <c r="BG123" s="7">
        <f t="shared" si="28"/>
        <v>-12.37299795544655</v>
      </c>
      <c r="BI123" s="10">
        <f t="shared" si="29"/>
        <v>-560.06191911280393</v>
      </c>
      <c r="BJ123">
        <f t="shared" si="30"/>
        <v>239.62962508986632</v>
      </c>
    </row>
    <row r="124" spans="42:62" x14ac:dyDescent="0.25">
      <c r="AP124" s="1">
        <v>119</v>
      </c>
      <c r="AQ124" s="7">
        <f t="shared" si="19"/>
        <v>46591.644691714275</v>
      </c>
      <c r="AR124" s="7">
        <f t="shared" si="20"/>
        <v>-12506.551940212112</v>
      </c>
      <c r="AS124" s="7"/>
      <c r="AT124" s="7">
        <f t="shared" si="21"/>
        <v>-1097.5763237024139</v>
      </c>
      <c r="AU124" s="7">
        <f t="shared" si="22"/>
        <v>-2045.4003210988369</v>
      </c>
      <c r="AV124" s="7"/>
      <c r="AX124" s="7">
        <f t="shared" si="23"/>
        <v>-331.87848787352681</v>
      </c>
      <c r="AY124" s="7">
        <f t="shared" si="24"/>
        <v>249.69287467764855</v>
      </c>
      <c r="BB124" s="7">
        <f t="shared" si="25"/>
        <v>-33.928347423746871</v>
      </c>
      <c r="BC124" s="7">
        <f t="shared" si="26"/>
        <v>11.467055920802837</v>
      </c>
      <c r="BF124" s="7">
        <f t="shared" si="27"/>
        <v>-185.50210894118283</v>
      </c>
      <c r="BG124" s="7">
        <f t="shared" si="28"/>
        <v>-8.9654027583314981</v>
      </c>
      <c r="BI124" s="10">
        <f t="shared" si="29"/>
        <v>-551.30894423845643</v>
      </c>
      <c r="BJ124">
        <f t="shared" si="30"/>
        <v>252.19452784011989</v>
      </c>
    </row>
    <row r="125" spans="42:62" x14ac:dyDescent="0.25">
      <c r="AP125" s="1">
        <v>120</v>
      </c>
      <c r="AQ125" s="7">
        <f t="shared" si="19"/>
        <v>45973.942911833263</v>
      </c>
      <c r="AR125" s="7">
        <f t="shared" si="20"/>
        <v>-13497.727784781515</v>
      </c>
      <c r="AS125" s="7"/>
      <c r="AT125" s="7">
        <f t="shared" si="21"/>
        <v>-1373.230795821642</v>
      </c>
      <c r="AU125" s="7">
        <f t="shared" si="22"/>
        <v>-1919.303057178777</v>
      </c>
      <c r="AV125" s="7"/>
      <c r="AX125" s="7">
        <f t="shared" si="23"/>
        <v>-320.90546345548114</v>
      </c>
      <c r="AY125" s="7">
        <f t="shared" si="24"/>
        <v>259.42482391525942</v>
      </c>
      <c r="BB125" s="7">
        <f t="shared" si="25"/>
        <v>-33.983652742927511</v>
      </c>
      <c r="BC125" s="7">
        <f t="shared" si="26"/>
        <v>12.103848671785634</v>
      </c>
      <c r="BF125" s="7">
        <f t="shared" si="27"/>
        <v>-190.17636113302737</v>
      </c>
      <c r="BG125" s="7">
        <f t="shared" si="28"/>
        <v>-5.6047589611746726</v>
      </c>
      <c r="BI125" s="10">
        <f t="shared" si="29"/>
        <v>-545.065477331436</v>
      </c>
      <c r="BJ125">
        <f t="shared" si="30"/>
        <v>265.9239136258704</v>
      </c>
    </row>
    <row r="126" spans="42:62" x14ac:dyDescent="0.25">
      <c r="AP126" s="1">
        <v>121</v>
      </c>
      <c r="AQ126" s="7">
        <f t="shared" si="19"/>
        <v>45219.19432925601</v>
      </c>
      <c r="AR126" s="7">
        <f t="shared" si="20"/>
        <v>-14424.13882416767</v>
      </c>
      <c r="AS126" s="7"/>
      <c r="AT126" s="7">
        <f t="shared" si="21"/>
        <v>-1645.7635344873599</v>
      </c>
      <c r="AU126" s="7">
        <f t="shared" si="22"/>
        <v>-1786.3411003658418</v>
      </c>
      <c r="AV126" s="7"/>
      <c r="AX126" s="7">
        <f t="shared" si="23"/>
        <v>-311.14843353881054</v>
      </c>
      <c r="AY126" s="7">
        <f t="shared" si="24"/>
        <v>270.4948208402356</v>
      </c>
      <c r="BB126" s="7">
        <f t="shared" si="25"/>
        <v>-34.158290421757158</v>
      </c>
      <c r="BC126" s="7">
        <f t="shared" si="26"/>
        <v>12.792044364200148</v>
      </c>
      <c r="BF126" s="7">
        <f t="shared" si="27"/>
        <v>-195.81458009627914</v>
      </c>
      <c r="BG126" s="7">
        <f t="shared" si="28"/>
        <v>-2.245396722218338</v>
      </c>
      <c r="BI126" s="10">
        <f t="shared" si="29"/>
        <v>-541.12130405684684</v>
      </c>
      <c r="BJ126">
        <f t="shared" si="30"/>
        <v>281.0414684822174</v>
      </c>
    </row>
    <row r="127" spans="42:62" x14ac:dyDescent="0.25">
      <c r="AP127" s="1">
        <v>122</v>
      </c>
      <c r="AQ127" s="7">
        <f t="shared" si="19"/>
        <v>44328.672399005227</v>
      </c>
      <c r="AR127" s="7">
        <f t="shared" si="20"/>
        <v>-15282.179190790313</v>
      </c>
      <c r="AS127" s="7"/>
      <c r="AT127" s="7">
        <f t="shared" si="21"/>
        <v>-1916.3241865157834</v>
      </c>
      <c r="AU127" s="7">
        <f t="shared" si="22"/>
        <v>-1645.820366124733</v>
      </c>
      <c r="AV127" s="7"/>
      <c r="AX127" s="7">
        <f t="shared" si="23"/>
        <v>-302.30697241824299</v>
      </c>
      <c r="AY127" s="7">
        <f t="shared" si="24"/>
        <v>283.09031842359502</v>
      </c>
      <c r="BB127" s="7">
        <f t="shared" si="25"/>
        <v>-34.456158794884161</v>
      </c>
      <c r="BC127" s="7">
        <f t="shared" si="26"/>
        <v>13.541811891831582</v>
      </c>
      <c r="BF127" s="7">
        <f t="shared" si="27"/>
        <v>-202.55502952822704</v>
      </c>
      <c r="BG127" s="7">
        <f t="shared" si="28"/>
        <v>1.1586935456210612</v>
      </c>
      <c r="BI127" s="10">
        <f t="shared" si="29"/>
        <v>-539.31816074135418</v>
      </c>
      <c r="BJ127">
        <f t="shared" si="30"/>
        <v>297.79082386104767</v>
      </c>
    </row>
    <row r="128" spans="42:62" x14ac:dyDescent="0.25">
      <c r="AP128" s="1">
        <v>123</v>
      </c>
      <c r="AQ128" s="7">
        <f t="shared" si="19"/>
        <v>43303.095535654662</v>
      </c>
      <c r="AR128" s="7">
        <f t="shared" si="20"/>
        <v>-16067.865520870047</v>
      </c>
      <c r="AS128" s="7"/>
      <c r="AT128" s="7">
        <f t="shared" si="21"/>
        <v>-2185.9832668864606</v>
      </c>
      <c r="AU128" s="7">
        <f t="shared" si="22"/>
        <v>-1496.9249541942092</v>
      </c>
      <c r="AV128" s="7"/>
      <c r="AX128" s="7">
        <f t="shared" si="23"/>
        <v>-294.0809152731224</v>
      </c>
      <c r="AY128" s="7">
        <f t="shared" si="24"/>
        <v>297.4222653298072</v>
      </c>
      <c r="BB128" s="7">
        <f t="shared" si="25"/>
        <v>-34.883939588149417</v>
      </c>
      <c r="BC128" s="7">
        <f t="shared" si="26"/>
        <v>14.365013880085124</v>
      </c>
      <c r="BF128" s="7">
        <f t="shared" si="27"/>
        <v>-210.57391729654091</v>
      </c>
      <c r="BG128" s="7">
        <f t="shared" si="28"/>
        <v>4.6552839602077754</v>
      </c>
      <c r="BI128" s="10">
        <f t="shared" si="29"/>
        <v>-539.53877215781267</v>
      </c>
      <c r="BJ128">
        <f t="shared" si="30"/>
        <v>316.44256317010013</v>
      </c>
    </row>
    <row r="129" spans="42:62" x14ac:dyDescent="0.25">
      <c r="AP129" s="1">
        <v>124</v>
      </c>
      <c r="AQ129" s="7">
        <f t="shared" si="19"/>
        <v>42142.66155569171</v>
      </c>
      <c r="AR129" s="7">
        <f t="shared" si="20"/>
        <v>-16776.772677570891</v>
      </c>
      <c r="AS129" s="7"/>
      <c r="AT129" s="7">
        <f t="shared" si="21"/>
        <v>-2455.7526529653669</v>
      </c>
      <c r="AU129" s="7">
        <f t="shared" si="22"/>
        <v>-1338.7036726091592</v>
      </c>
      <c r="AV129" s="7"/>
      <c r="AX129" s="7">
        <f t="shared" si="23"/>
        <v>-286.14992211668067</v>
      </c>
      <c r="AY129" s="7">
        <f t="shared" si="24"/>
        <v>313.72906971725882</v>
      </c>
      <c r="BB129" s="7">
        <f t="shared" si="25"/>
        <v>-35.451446527942956</v>
      </c>
      <c r="BC129" s="7">
        <f t="shared" si="26"/>
        <v>15.27574295991581</v>
      </c>
      <c r="BF129" s="7">
        <f t="shared" si="27"/>
        <v>-220.09678815108128</v>
      </c>
      <c r="BG129" s="7">
        <f t="shared" si="28"/>
        <v>8.2952881042995639</v>
      </c>
      <c r="BI129" s="10">
        <f t="shared" si="29"/>
        <v>-541.6981567957049</v>
      </c>
      <c r="BJ129">
        <f t="shared" si="30"/>
        <v>337.30010078147421</v>
      </c>
    </row>
    <row r="130" spans="42:62" x14ac:dyDescent="0.25">
      <c r="AP130" s="1">
        <v>125</v>
      </c>
      <c r="AQ130" s="7">
        <f t="shared" si="19"/>
        <v>40847.072959609563</v>
      </c>
      <c r="AR130" s="7">
        <f t="shared" si="20"/>
        <v>-17403.962001277789</v>
      </c>
      <c r="AS130" s="7"/>
      <c r="AT130" s="7">
        <f t="shared" si="21"/>
        <v>-2726.6017313632192</v>
      </c>
      <c r="AU130" s="7">
        <f t="shared" si="22"/>
        <v>-1170.0536222184221</v>
      </c>
      <c r="AV130" s="7"/>
      <c r="AX130" s="7">
        <f t="shared" si="23"/>
        <v>-278.15006143637987</v>
      </c>
      <c r="AY130" s="7">
        <f t="shared" si="24"/>
        <v>332.27871241615406</v>
      </c>
      <c r="BB130" s="7">
        <f t="shared" si="25"/>
        <v>-36.172165267574108</v>
      </c>
      <c r="BC130" s="7">
        <f t="shared" si="26"/>
        <v>16.291016055193687</v>
      </c>
      <c r="BF130" s="7">
        <f t="shared" si="27"/>
        <v>-231.41439650851453</v>
      </c>
      <c r="BG130" s="7">
        <f t="shared" si="28"/>
        <v>12.134066143005477</v>
      </c>
      <c r="BI130" s="10">
        <f t="shared" si="29"/>
        <v>-545.73662321246843</v>
      </c>
      <c r="BJ130">
        <f t="shared" si="30"/>
        <v>360.70379461435323</v>
      </c>
    </row>
    <row r="131" spans="42:62" x14ac:dyDescent="0.25">
      <c r="AP131" s="1">
        <v>126</v>
      </c>
      <c r="AQ131" s="7">
        <f t="shared" si="19"/>
        <v>39415.555016026396</v>
      </c>
      <c r="AR131" s="7">
        <f t="shared" si="20"/>
        <v>-17943.900838060206</v>
      </c>
      <c r="AS131" s="7"/>
      <c r="AT131" s="7">
        <f t="shared" si="21"/>
        <v>-2999.4700429694535</v>
      </c>
      <c r="AU131" s="7">
        <f t="shared" si="22"/>
        <v>-989.70172491124549</v>
      </c>
      <c r="AV131" s="7"/>
      <c r="AX131" s="7">
        <f t="shared" si="23"/>
        <v>-269.64523298211333</v>
      </c>
      <c r="AY131" s="7">
        <f t="shared" si="24"/>
        <v>353.36752226703408</v>
      </c>
      <c r="BB131" s="7">
        <f t="shared" si="25"/>
        <v>-37.06403881635763</v>
      </c>
      <c r="BC131" s="7">
        <f t="shared" si="26"/>
        <v>17.431694866149861</v>
      </c>
      <c r="BF131" s="7">
        <f t="shared" si="27"/>
        <v>-244.90511832974019</v>
      </c>
      <c r="BG131" s="7">
        <f t="shared" si="28"/>
        <v>16.232519954687213</v>
      </c>
      <c r="BI131" s="10">
        <f t="shared" si="29"/>
        <v>-551.6143901282112</v>
      </c>
      <c r="BJ131">
        <f t="shared" si="30"/>
        <v>387.03173708787114</v>
      </c>
    </row>
    <row r="132" spans="42:62" x14ac:dyDescent="0.25">
      <c r="AP132" s="1">
        <v>127</v>
      </c>
      <c r="AQ132" s="7">
        <f t="shared" si="19"/>
        <v>37846.868195775642</v>
      </c>
      <c r="AR132" s="7">
        <f t="shared" si="20"/>
        <v>-18390.372733379845</v>
      </c>
      <c r="AS132" s="7"/>
      <c r="AT132" s="7">
        <f t="shared" si="21"/>
        <v>-3275.2772380335591</v>
      </c>
      <c r="AU132" s="7">
        <f t="shared" si="22"/>
        <v>-796.18585636730995</v>
      </c>
      <c r="AV132" s="7"/>
      <c r="AX132" s="7">
        <f t="shared" si="23"/>
        <v>-260.09095238426471</v>
      </c>
      <c r="AY132" s="7">
        <f t="shared" si="24"/>
        <v>377.31279392774735</v>
      </c>
      <c r="BB132" s="7">
        <f t="shared" si="25"/>
        <v>-38.150582509904837</v>
      </c>
      <c r="BC132" s="7">
        <f t="shared" si="26"/>
        <v>18.723732005440805</v>
      </c>
      <c r="BF132" s="7">
        <f t="shared" si="27"/>
        <v>-261.06707570385345</v>
      </c>
      <c r="BG132" s="7">
        <f t="shared" si="28"/>
        <v>20.657628721084023</v>
      </c>
      <c r="BI132" s="10">
        <f t="shared" si="29"/>
        <v>-559.30861059802305</v>
      </c>
      <c r="BJ132">
        <f t="shared" si="30"/>
        <v>416.69415465427221</v>
      </c>
    </row>
    <row r="133" spans="42:62" x14ac:dyDescent="0.25">
      <c r="AP133" s="1">
        <v>128</v>
      </c>
      <c r="AQ133" s="7">
        <f t="shared" si="19"/>
        <v>36139.316000434112</v>
      </c>
      <c r="AR133" s="7">
        <f t="shared" si="20"/>
        <v>-18736.378892231714</v>
      </c>
      <c r="AS133" s="7"/>
      <c r="AT133" s="7">
        <f t="shared" si="21"/>
        <v>-3554.9315433325705</v>
      </c>
      <c r="AU133" s="7">
        <f t="shared" si="22"/>
        <v>-587.8387790401739</v>
      </c>
      <c r="AV133" s="7"/>
      <c r="AX133" s="7">
        <f t="shared" si="23"/>
        <v>-248.7878345922594</v>
      </c>
      <c r="AY133" s="7">
        <f t="shared" si="24"/>
        <v>404.43423327015961</v>
      </c>
      <c r="BB133" s="7">
        <f t="shared" si="25"/>
        <v>-39.462456433774065</v>
      </c>
      <c r="BC133" s="7">
        <f t="shared" si="26"/>
        <v>20.199891642611924</v>
      </c>
      <c r="BF133" s="7">
        <f t="shared" si="27"/>
        <v>-280.56494943816074</v>
      </c>
      <c r="BG133" s="7">
        <f t="shared" si="28"/>
        <v>25.481633067738418</v>
      </c>
      <c r="BI133" s="10">
        <f t="shared" si="29"/>
        <v>-568.81524046419418</v>
      </c>
      <c r="BJ133">
        <f t="shared" si="30"/>
        <v>450.11575798050995</v>
      </c>
    </row>
    <row r="134" spans="42:62" x14ac:dyDescent="0.25">
      <c r="AP134" s="1">
        <v>129</v>
      </c>
      <c r="AQ134" s="7">
        <f t="shared" ref="AQ134:AQ197" si="31">AQ133+(AT133*$R$7)+((1/2)*(BI133)*$R$7^2)</f>
        <v>34290.748323709806</v>
      </c>
      <c r="AR134" s="7">
        <f t="shared" ref="AR134:AR197" si="32">AR133+(AU133*$R$7)+((1/2)*(BJ133)*$R$7^2)</f>
        <v>-18974.03381200424</v>
      </c>
      <c r="AS134" s="7"/>
      <c r="AT134" s="7">
        <f t="shared" ref="AT134:AT197" si="33">AT133+(BI133)*$R$7</f>
        <v>-3839.3391635646676</v>
      </c>
      <c r="AU134" s="7">
        <f t="shared" ref="AU134:AU197" si="34">AU133+(BJ133)*$R$7</f>
        <v>-362.78090004991896</v>
      </c>
      <c r="AV134" s="7"/>
      <c r="AX134" s="7">
        <f t="shared" ref="AX134:AX197" si="35">(($R$23-AQ134)/(($R$23-AQ134)^2+($S$23-AR134)^2+$R$28^2)^(3/2))*$R$27</f>
        <v>-234.82250333802105</v>
      </c>
      <c r="AY134" s="7">
        <f t="shared" ref="AY134:AY197" si="36">(($S$23-AR134)/(($R$23-AQ134)^2+($S$23-AR134)^2+$R$28^2)^(3/2))*$R$27</f>
        <v>435.01563055841604</v>
      </c>
      <c r="BB134" s="7">
        <f t="shared" ref="BB134:BB197" si="37">(($R$32-AQ134)/(($R$32-AQ134)^2+($S$32-AR134)^2+$R$37^2)^(3/2))*$R$36</f>
        <v>-41.039689925863058</v>
      </c>
      <c r="BC134" s="7">
        <f t="shared" ref="BC134:BC197" si="38">(($S$32-AR134)/(($R$32-AQ134)^2+($S$32-AR134)^2+$R$37^2)^(3/2))*$R$36</f>
        <v>21.902173026906496</v>
      </c>
      <c r="BF134" s="7">
        <f t="shared" ref="BF134:BF197" si="39">(($R$41-AQ134)/(($R$41-AQ134)^2+($S$41-AR134)^2+$R$46^2)^(3/2))*$R$45</f>
        <v>-304.29941287116924</v>
      </c>
      <c r="BG134" s="7">
        <f t="shared" ref="BG134:BG197" si="40">(($S$41-AR134)/(($R$41-AQ134)^2+($S$41-AR134)^2+$R$46^2)^(3/2))*$R$45</f>
        <v>30.778140079182993</v>
      </c>
      <c r="BI134" s="10">
        <f t="shared" ref="BI134:BI197" si="41">BF134+BB134+AX134</f>
        <v>-580.16160613505338</v>
      </c>
      <c r="BJ134">
        <f t="shared" ref="BJ134:BJ197" si="42">BG134+BC134+AY134</f>
        <v>487.69594366450553</v>
      </c>
    </row>
    <row r="135" spans="42:62" x14ac:dyDescent="0.25">
      <c r="AP135" s="1">
        <v>130</v>
      </c>
      <c r="AQ135" s="7">
        <f t="shared" si="31"/>
        <v>32298.55854116059</v>
      </c>
      <c r="AR135" s="7">
        <f t="shared" si="32"/>
        <v>-19094.462269071137</v>
      </c>
      <c r="AS135" s="7"/>
      <c r="AT135" s="7">
        <f t="shared" si="33"/>
        <v>-4129.4199666321947</v>
      </c>
      <c r="AU135" s="7">
        <f t="shared" si="34"/>
        <v>-118.93292821766619</v>
      </c>
      <c r="AV135" s="7"/>
      <c r="AX135" s="7">
        <f t="shared" si="35"/>
        <v>-216.99568095129558</v>
      </c>
      <c r="AY135" s="7">
        <f t="shared" si="36"/>
        <v>469.23250641908493</v>
      </c>
      <c r="BB135" s="7">
        <f t="shared" si="37"/>
        <v>-42.934856811886682</v>
      </c>
      <c r="BC135" s="7">
        <f t="shared" si="38"/>
        <v>23.885296390306362</v>
      </c>
      <c r="BF135" s="7">
        <f t="shared" si="39"/>
        <v>-333.51203856250237</v>
      </c>
      <c r="BG135" s="7">
        <f t="shared" si="40"/>
        <v>36.611400321763561</v>
      </c>
      <c r="BI135" s="10">
        <f t="shared" si="41"/>
        <v>-593.44257632568463</v>
      </c>
      <c r="BJ135">
        <f t="shared" si="42"/>
        <v>529.7292031311548</v>
      </c>
    </row>
    <row r="136" spans="42:62" x14ac:dyDescent="0.25">
      <c r="AP136" s="1">
        <v>131</v>
      </c>
      <c r="AQ136" s="7">
        <f t="shared" si="31"/>
        <v>30159.668235803783</v>
      </c>
      <c r="AR136" s="7">
        <f t="shared" si="32"/>
        <v>-19087.712582788576</v>
      </c>
      <c r="AS136" s="7"/>
      <c r="AT136" s="7">
        <f t="shared" si="33"/>
        <v>-4426.1412547950367</v>
      </c>
      <c r="AU136" s="7">
        <f t="shared" si="34"/>
        <v>145.93167334791121</v>
      </c>
      <c r="AV136" s="7"/>
      <c r="AX136" s="7">
        <f t="shared" si="35"/>
        <v>-193.74314894909776</v>
      </c>
      <c r="AY136" s="7">
        <f t="shared" si="36"/>
        <v>507.02316646420206</v>
      </c>
      <c r="BB136" s="7">
        <f t="shared" si="37"/>
        <v>-45.217665646181977</v>
      </c>
      <c r="BC136" s="7">
        <f t="shared" si="38"/>
        <v>26.221833362165931</v>
      </c>
      <c r="BF136" s="7">
        <f t="shared" si="39"/>
        <v>-369.94676069096323</v>
      </c>
      <c r="BG136" s="7">
        <f t="shared" si="40"/>
        <v>43.010531797293375</v>
      </c>
      <c r="BI136" s="10">
        <f t="shared" si="41"/>
        <v>-608.90757528624295</v>
      </c>
      <c r="BJ136">
        <f t="shared" si="42"/>
        <v>576.25553162366134</v>
      </c>
    </row>
    <row r="137" spans="42:62" x14ac:dyDescent="0.25">
      <c r="AP137" s="1">
        <v>132</v>
      </c>
      <c r="AQ137" s="7">
        <f t="shared" si="31"/>
        <v>27870.484161495482</v>
      </c>
      <c r="AR137" s="7">
        <f t="shared" si="32"/>
        <v>-18942.71480466166</v>
      </c>
      <c r="AS137" s="7"/>
      <c r="AT137" s="7">
        <f t="shared" si="33"/>
        <v>-4730.5950424381581</v>
      </c>
      <c r="AU137" s="7">
        <f t="shared" si="34"/>
        <v>434.05943915974188</v>
      </c>
      <c r="AV137" s="7"/>
      <c r="AX137" s="7">
        <f t="shared" si="35"/>
        <v>-163.06960591916246</v>
      </c>
      <c r="AY137" s="7">
        <f t="shared" si="36"/>
        <v>547.87011753666366</v>
      </c>
      <c r="BB137" s="7">
        <f t="shared" si="37"/>
        <v>-47.981697727288818</v>
      </c>
      <c r="BC137" s="7">
        <f t="shared" si="38"/>
        <v>29.009955037835553</v>
      </c>
      <c r="BF137" s="7">
        <f t="shared" si="39"/>
        <v>-416.10264448420878</v>
      </c>
      <c r="BG137" s="7">
        <f t="shared" si="40"/>
        <v>49.91024922561158</v>
      </c>
      <c r="BI137" s="10">
        <f t="shared" si="41"/>
        <v>-627.15394813066007</v>
      </c>
      <c r="BJ137">
        <f t="shared" si="42"/>
        <v>626.79032180011075</v>
      </c>
    </row>
    <row r="138" spans="42:62" x14ac:dyDescent="0.25">
      <c r="AP138" s="1">
        <v>133</v>
      </c>
      <c r="AQ138" s="7">
        <f t="shared" si="31"/>
        <v>25426.792396760069</v>
      </c>
      <c r="AR138" s="7">
        <f t="shared" si="32"/>
        <v>-18647.336294856777</v>
      </c>
      <c r="AS138" s="7"/>
      <c r="AT138" s="7">
        <f t="shared" si="33"/>
        <v>-5044.1720165034885</v>
      </c>
      <c r="AU138" s="7">
        <f t="shared" si="34"/>
        <v>747.45460005979726</v>
      </c>
      <c r="AV138" s="7"/>
      <c r="AX138" s="7">
        <f t="shared" si="35"/>
        <v>-122.54602619670612</v>
      </c>
      <c r="AY138" s="7">
        <f t="shared" si="36"/>
        <v>590.45047687407805</v>
      </c>
      <c r="BB138" s="7">
        <f t="shared" si="37"/>
        <v>-51.354467689412814</v>
      </c>
      <c r="BC138" s="7">
        <f t="shared" si="38"/>
        <v>32.385485052360693</v>
      </c>
      <c r="BF138" s="7">
        <f t="shared" si="39"/>
        <v>-475.6344653364755</v>
      </c>
      <c r="BG138" s="7">
        <f t="shared" si="40"/>
        <v>57.015502189157843</v>
      </c>
      <c r="BI138" s="10">
        <f t="shared" si="41"/>
        <v>-649.53495922259435</v>
      </c>
      <c r="BJ138">
        <f t="shared" si="42"/>
        <v>679.85146411559663</v>
      </c>
    </row>
    <row r="139" spans="42:62" x14ac:dyDescent="0.25">
      <c r="AP139" s="1">
        <v>134</v>
      </c>
      <c r="AQ139" s="7">
        <f t="shared" si="31"/>
        <v>22823.514518605502</v>
      </c>
      <c r="AR139" s="7">
        <f t="shared" si="32"/>
        <v>-18188.627561812427</v>
      </c>
      <c r="AS139" s="7"/>
      <c r="AT139" s="7">
        <f t="shared" si="33"/>
        <v>-5368.9394961147855</v>
      </c>
      <c r="AU139" s="7">
        <f t="shared" si="34"/>
        <v>1087.3803321175956</v>
      </c>
      <c r="AV139" s="7"/>
      <c r="AX139" s="7">
        <f t="shared" si="35"/>
        <v>-69.478504596920374</v>
      </c>
      <c r="AY139" s="7">
        <f t="shared" si="36"/>
        <v>632.12263169925336</v>
      </c>
      <c r="BB139" s="7">
        <f t="shared" si="37"/>
        <v>-55.512716446644781</v>
      </c>
      <c r="BC139" s="7">
        <f t="shared" si="38"/>
        <v>36.541309288827748</v>
      </c>
      <c r="BF139" s="7">
        <f t="shared" si="39"/>
        <v>-553.98741166946411</v>
      </c>
      <c r="BG139" s="7">
        <f t="shared" si="40"/>
        <v>63.488008625407637</v>
      </c>
      <c r="BI139" s="10">
        <f t="shared" si="41"/>
        <v>-678.97863271302924</v>
      </c>
      <c r="BJ139">
        <f t="shared" si="42"/>
        <v>732.1519496134888</v>
      </c>
    </row>
    <row r="140" spans="42:62" x14ac:dyDescent="0.25">
      <c r="AP140" s="1">
        <v>135</v>
      </c>
      <c r="AQ140" s="7">
        <f t="shared" si="31"/>
        <v>20054.172441458981</v>
      </c>
      <c r="AR140" s="7">
        <f t="shared" si="32"/>
        <v>-17553.418402051942</v>
      </c>
      <c r="AS140" s="7"/>
      <c r="AT140" s="7">
        <f t="shared" si="33"/>
        <v>-5708.4288124713003</v>
      </c>
      <c r="AU140" s="7">
        <f t="shared" si="34"/>
        <v>1453.45630692434</v>
      </c>
      <c r="AV140" s="7"/>
      <c r="AX140" s="7">
        <f t="shared" si="35"/>
        <v>-1.4450049010292025</v>
      </c>
      <c r="AY140" s="7">
        <f t="shared" si="36"/>
        <v>668.27913609750397</v>
      </c>
      <c r="BB140" s="7">
        <f t="shared" si="37"/>
        <v>-60.706063382373522</v>
      </c>
      <c r="BC140" s="7">
        <f t="shared" si="38"/>
        <v>41.759933159540147</v>
      </c>
      <c r="BF140" s="7">
        <f t="shared" si="39"/>
        <v>-659.36996932705676</v>
      </c>
      <c r="BG140" s="7">
        <f t="shared" si="40"/>
        <v>67.200280407349496</v>
      </c>
      <c r="BI140" s="10">
        <f t="shared" si="41"/>
        <v>-721.52103761045942</v>
      </c>
      <c r="BJ140">
        <f t="shared" si="42"/>
        <v>777.23934966439356</v>
      </c>
    </row>
    <row r="141" spans="42:62" x14ac:dyDescent="0.25">
      <c r="AP141" s="1">
        <v>136</v>
      </c>
      <c r="AQ141" s="7">
        <f t="shared" si="31"/>
        <v>17109.767905522025</v>
      </c>
      <c r="AR141" s="7">
        <f t="shared" si="32"/>
        <v>-16729.535329881724</v>
      </c>
      <c r="AS141" s="7"/>
      <c r="AT141" s="7">
        <f t="shared" si="33"/>
        <v>-6069.1893312765296</v>
      </c>
      <c r="AU141" s="7">
        <f t="shared" si="34"/>
        <v>1842.0759817565367</v>
      </c>
      <c r="AV141" s="7"/>
      <c r="AX141" s="7">
        <f t="shared" si="35"/>
        <v>82.519577290656372</v>
      </c>
      <c r="AY141" s="7">
        <f t="shared" si="36"/>
        <v>691.7821642043566</v>
      </c>
      <c r="BB141" s="7">
        <f t="shared" si="37"/>
        <v>-67.294071661823878</v>
      </c>
      <c r="BC141" s="7">
        <f t="shared" si="38"/>
        <v>48.470776496251204</v>
      </c>
      <c r="BF141" s="7">
        <f t="shared" si="39"/>
        <v>-804.05155777076391</v>
      </c>
      <c r="BG141" s="7">
        <f t="shared" si="40"/>
        <v>62.896887120359786</v>
      </c>
      <c r="BI141" s="10">
        <f t="shared" si="41"/>
        <v>-788.82605214193143</v>
      </c>
      <c r="BJ141">
        <f t="shared" si="42"/>
        <v>803.14982782096763</v>
      </c>
    </row>
    <row r="142" spans="42:62" x14ac:dyDescent="0.25">
      <c r="AP142" s="1">
        <v>137</v>
      </c>
      <c r="AQ142" s="7">
        <f t="shared" si="31"/>
        <v>13976.569983366018</v>
      </c>
      <c r="AR142" s="7">
        <f t="shared" si="32"/>
        <v>-15708.103610525835</v>
      </c>
      <c r="AS142" s="7"/>
      <c r="AT142" s="7">
        <f t="shared" si="33"/>
        <v>-6463.6023573474949</v>
      </c>
      <c r="AU142" s="7">
        <f t="shared" si="34"/>
        <v>2243.6508956670204</v>
      </c>
      <c r="AV142" s="7"/>
      <c r="AX142" s="7">
        <f t="shared" si="35"/>
        <v>179.88108128885509</v>
      </c>
      <c r="AY142" s="7">
        <f t="shared" si="36"/>
        <v>693.07666239942102</v>
      </c>
      <c r="BB142" s="7">
        <f t="shared" si="37"/>
        <v>-75.804278746816252</v>
      </c>
      <c r="BC142" s="7">
        <f t="shared" si="38"/>
        <v>57.356709435308041</v>
      </c>
      <c r="BF142" s="7">
        <f t="shared" si="39"/>
        <v>-1005.1109521407283</v>
      </c>
      <c r="BG142" s="7">
        <f t="shared" si="40"/>
        <v>37.505339205861382</v>
      </c>
      <c r="BI142" s="10">
        <f t="shared" si="41"/>
        <v>-901.03414959868951</v>
      </c>
      <c r="BJ142">
        <f t="shared" si="42"/>
        <v>787.93871104059042</v>
      </c>
    </row>
    <row r="143" spans="42:62" x14ac:dyDescent="0.25">
      <c r="AP143" s="1">
        <v>138</v>
      </c>
      <c r="AQ143" s="7">
        <f t="shared" si="31"/>
        <v>10632.139535992434</v>
      </c>
      <c r="AR143" s="7">
        <f t="shared" si="32"/>
        <v>-14487.78582381225</v>
      </c>
      <c r="AS143" s="7"/>
      <c r="AT143" s="7">
        <f t="shared" si="33"/>
        <v>-6914.1194321468392</v>
      </c>
      <c r="AU143" s="7">
        <f t="shared" si="34"/>
        <v>2637.6202511873157</v>
      </c>
      <c r="AV143" s="7"/>
      <c r="AX143" s="7">
        <f t="shared" si="35"/>
        <v>282.0604237471893</v>
      </c>
      <c r="AY143" s="7">
        <f t="shared" si="36"/>
        <v>662.03848899706622</v>
      </c>
      <c r="BB143" s="7">
        <f t="shared" si="37"/>
        <v>-87.018791322839661</v>
      </c>
      <c r="BC143" s="7">
        <f t="shared" si="38"/>
        <v>69.564110011216414</v>
      </c>
      <c r="BF143" s="7">
        <f t="shared" si="39"/>
        <v>-1279.3657002632651</v>
      </c>
      <c r="BG143" s="7">
        <f t="shared" si="40"/>
        <v>-41.920637075583066</v>
      </c>
      <c r="BI143" s="10">
        <f t="shared" si="41"/>
        <v>-1084.3240678389154</v>
      </c>
      <c r="BJ143">
        <f t="shared" si="42"/>
        <v>689.68196193269955</v>
      </c>
    </row>
    <row r="144" spans="42:62" x14ac:dyDescent="0.25">
      <c r="AP144" s="1">
        <v>139</v>
      </c>
      <c r="AQ144" s="7">
        <f t="shared" si="31"/>
        <v>7039.53931143915</v>
      </c>
      <c r="AR144" s="7">
        <f t="shared" si="32"/>
        <v>-13082.765452977004</v>
      </c>
      <c r="AS144" s="7"/>
      <c r="AT144" s="7">
        <f t="shared" si="33"/>
        <v>-7456.2814660662971</v>
      </c>
      <c r="AU144" s="7">
        <f t="shared" si="34"/>
        <v>2982.4612321536656</v>
      </c>
      <c r="AV144" s="7"/>
      <c r="AX144" s="7">
        <f t="shared" si="35"/>
        <v>373.09049975377036</v>
      </c>
      <c r="AY144" s="7">
        <f t="shared" si="36"/>
        <v>592.51244486576536</v>
      </c>
      <c r="BB144" s="7">
        <f t="shared" si="37"/>
        <v>-102.07499759638536</v>
      </c>
      <c r="BC144" s="7">
        <f t="shared" si="38"/>
        <v>87.138068477881546</v>
      </c>
      <c r="BF144" s="7">
        <f t="shared" si="39"/>
        <v>-1608.006884295382</v>
      </c>
      <c r="BG144" s="7">
        <f t="shared" si="40"/>
        <v>-256.06680377651395</v>
      </c>
      <c r="BI144" s="10">
        <f t="shared" si="41"/>
        <v>-1336.9913821379969</v>
      </c>
      <c r="BJ144">
        <f t="shared" si="42"/>
        <v>423.58370956713293</v>
      </c>
    </row>
    <row r="145" spans="42:62" x14ac:dyDescent="0.25">
      <c r="AP145" s="1">
        <v>140</v>
      </c>
      <c r="AQ145" s="7">
        <f t="shared" si="31"/>
        <v>3144.2746556387519</v>
      </c>
      <c r="AR145" s="7">
        <f t="shared" si="32"/>
        <v>-11538.58687320428</v>
      </c>
      <c r="AS145" s="7"/>
      <c r="AT145" s="7">
        <f t="shared" si="33"/>
        <v>-8124.7771571352951</v>
      </c>
      <c r="AU145" s="7">
        <f t="shared" si="34"/>
        <v>3194.2530869372322</v>
      </c>
      <c r="AV145" s="7"/>
      <c r="AX145" s="7">
        <f t="shared" si="35"/>
        <v>432.64201279199756</v>
      </c>
      <c r="AY145" s="7">
        <f t="shared" si="36"/>
        <v>488.67031096314662</v>
      </c>
      <c r="BB145" s="7">
        <f t="shared" si="37"/>
        <v>-122.41688069764199</v>
      </c>
      <c r="BC145" s="7">
        <f t="shared" si="38"/>
        <v>113.92392541498194</v>
      </c>
      <c r="BF145" s="7">
        <f t="shared" si="39"/>
        <v>-1790.9576905978154</v>
      </c>
      <c r="BG145" s="7">
        <f t="shared" si="40"/>
        <v>-761.17821683222974</v>
      </c>
      <c r="BI145" s="10">
        <f t="shared" si="41"/>
        <v>-1480.7325585034598</v>
      </c>
      <c r="BJ145">
        <f t="shared" si="42"/>
        <v>-158.58398045410121</v>
      </c>
    </row>
    <row r="146" spans="42:62" x14ac:dyDescent="0.25">
      <c r="AP146" s="1">
        <v>141</v>
      </c>
      <c r="AQ146" s="7">
        <f t="shared" si="31"/>
        <v>-1103.205492741828</v>
      </c>
      <c r="AR146" s="7">
        <f t="shared" si="32"/>
        <v>-9961.2833272924272</v>
      </c>
      <c r="AS146" s="7"/>
      <c r="AT146" s="7">
        <f t="shared" si="33"/>
        <v>-8865.1434363870248</v>
      </c>
      <c r="AU146" s="7">
        <f t="shared" si="34"/>
        <v>3114.9610967101817</v>
      </c>
      <c r="AV146" s="7"/>
      <c r="AX146" s="7">
        <f t="shared" si="35"/>
        <v>445.69057535349833</v>
      </c>
      <c r="AY146" s="7">
        <f t="shared" si="36"/>
        <v>368.77475392200677</v>
      </c>
      <c r="BB146" s="7">
        <f t="shared" si="37"/>
        <v>-148.71612642786485</v>
      </c>
      <c r="BC146" s="7">
        <f t="shared" si="38"/>
        <v>157.0935607001409</v>
      </c>
      <c r="BF146" s="7">
        <f t="shared" si="39"/>
        <v>-1224.1936918811321</v>
      </c>
      <c r="BG146" s="7">
        <f t="shared" si="40"/>
        <v>-1582.9331401529375</v>
      </c>
      <c r="BI146" s="10">
        <f t="shared" si="41"/>
        <v>-927.21924295549843</v>
      </c>
      <c r="BJ146">
        <f t="shared" si="42"/>
        <v>-1057.0648255307899</v>
      </c>
    </row>
    <row r="147" spans="42:62" x14ac:dyDescent="0.25">
      <c r="AP147" s="1">
        <v>142</v>
      </c>
      <c r="AQ147" s="7">
        <f t="shared" si="31"/>
        <v>-5651.6796163047784</v>
      </c>
      <c r="AR147" s="7">
        <f t="shared" si="32"/>
        <v>-8535.935882128686</v>
      </c>
      <c r="AS147" s="7"/>
      <c r="AT147" s="7">
        <f t="shared" si="33"/>
        <v>-9328.7530578647747</v>
      </c>
      <c r="AU147" s="7">
        <f t="shared" si="34"/>
        <v>2586.4286839447868</v>
      </c>
      <c r="AV147" s="7"/>
      <c r="AX147" s="7">
        <f t="shared" si="35"/>
        <v>415.25296642476582</v>
      </c>
      <c r="AY147" s="7">
        <f t="shared" si="36"/>
        <v>259.59196606442453</v>
      </c>
      <c r="BB147" s="7">
        <f t="shared" si="37"/>
        <v>-176.01363908588814</v>
      </c>
      <c r="BC147" s="7">
        <f t="shared" si="38"/>
        <v>227.38393353577516</v>
      </c>
      <c r="BF147" s="7">
        <f t="shared" si="39"/>
        <v>201.20696037919112</v>
      </c>
      <c r="BG147" s="7">
        <f t="shared" si="40"/>
        <v>-1995.7885137300523</v>
      </c>
      <c r="BI147" s="10">
        <f t="shared" si="41"/>
        <v>440.44628771806879</v>
      </c>
      <c r="BJ147">
        <f t="shared" si="42"/>
        <v>-1508.8126141298526</v>
      </c>
    </row>
    <row r="148" spans="42:62" x14ac:dyDescent="0.25">
      <c r="AP148" s="1">
        <v>143</v>
      </c>
      <c r="AQ148" s="7">
        <f t="shared" si="31"/>
        <v>-10261.000359272408</v>
      </c>
      <c r="AR148" s="7">
        <f t="shared" si="32"/>
        <v>-7431.3231169225237</v>
      </c>
      <c r="AS148" s="7"/>
      <c r="AT148" s="7">
        <f t="shared" si="33"/>
        <v>-9108.5299140057396</v>
      </c>
      <c r="AU148" s="7">
        <f t="shared" si="34"/>
        <v>1832.0223768798605</v>
      </c>
      <c r="AV148" s="7"/>
      <c r="AX148" s="7">
        <f t="shared" si="35"/>
        <v>363.45205729311857</v>
      </c>
      <c r="AY148" s="7">
        <f t="shared" si="36"/>
        <v>179.33379731417025</v>
      </c>
      <c r="BB148" s="7">
        <f t="shared" si="37"/>
        <v>-184.64081248722314</v>
      </c>
      <c r="BC148" s="7">
        <f t="shared" si="38"/>
        <v>330.478876862905</v>
      </c>
      <c r="BF148" s="7">
        <f t="shared" si="39"/>
        <v>1095.0644536334694</v>
      </c>
      <c r="BG148" s="7">
        <f t="shared" si="40"/>
        <v>-1575.4017201477166</v>
      </c>
      <c r="BI148" s="10">
        <f t="shared" si="41"/>
        <v>1273.8756984393649</v>
      </c>
      <c r="BJ148">
        <f t="shared" si="42"/>
        <v>-1065.5890459706413</v>
      </c>
    </row>
    <row r="149" spans="42:62" x14ac:dyDescent="0.25">
      <c r="AP149" s="1">
        <v>144</v>
      </c>
      <c r="AQ149" s="7">
        <f t="shared" si="31"/>
        <v>-14656.030853970356</v>
      </c>
      <c r="AR149" s="7">
        <f t="shared" si="32"/>
        <v>-6648.5105592289237</v>
      </c>
      <c r="AS149" s="7"/>
      <c r="AT149" s="7">
        <f t="shared" si="33"/>
        <v>-8471.5920647860567</v>
      </c>
      <c r="AU149" s="7">
        <f t="shared" si="34"/>
        <v>1299.2278538945397</v>
      </c>
      <c r="AV149" s="7"/>
      <c r="AX149" s="7">
        <f t="shared" si="35"/>
        <v>311.96837671827529</v>
      </c>
      <c r="AY149" s="7">
        <f t="shared" si="36"/>
        <v>127.36276380704888</v>
      </c>
      <c r="BB149" s="7">
        <f t="shared" si="37"/>
        <v>-143.65082837481526</v>
      </c>
      <c r="BC149" s="7">
        <f t="shared" si="38"/>
        <v>447.52734675067069</v>
      </c>
      <c r="BF149" s="7">
        <f t="shared" si="39"/>
        <v>1185.4890872084763</v>
      </c>
      <c r="BG149" s="7">
        <f t="shared" si="40"/>
        <v>-1025.3280818691683</v>
      </c>
      <c r="BI149" s="10">
        <f t="shared" si="41"/>
        <v>1353.8066355519363</v>
      </c>
      <c r="BJ149">
        <f t="shared" si="42"/>
        <v>-450.43797131144879</v>
      </c>
    </row>
    <row r="150" spans="42:62" x14ac:dyDescent="0.25">
      <c r="AP150" s="1">
        <v>145</v>
      </c>
      <c r="AQ150" s="7">
        <f t="shared" si="31"/>
        <v>-18722.601056919393</v>
      </c>
      <c r="AR150" s="7">
        <f t="shared" si="32"/>
        <v>-6055.2013786955849</v>
      </c>
      <c r="AS150" s="7"/>
      <c r="AT150" s="7">
        <f t="shared" si="33"/>
        <v>-7794.6887470100883</v>
      </c>
      <c r="AU150" s="7">
        <f t="shared" si="34"/>
        <v>1074.0088682388155</v>
      </c>
      <c r="AV150" s="7"/>
      <c r="AX150" s="7">
        <f t="shared" si="35"/>
        <v>269.25833480849229</v>
      </c>
      <c r="AY150" s="7">
        <f t="shared" si="36"/>
        <v>94.256347755574026</v>
      </c>
      <c r="BB150" s="7">
        <f t="shared" si="37"/>
        <v>-42.358943817196909</v>
      </c>
      <c r="BC150" s="7">
        <f t="shared" si="38"/>
        <v>532.39544063959192</v>
      </c>
      <c r="BF150" s="7">
        <f t="shared" si="39"/>
        <v>1016.4792516849927</v>
      </c>
      <c r="BG150" s="7">
        <f t="shared" si="40"/>
        <v>-662.57134280471382</v>
      </c>
      <c r="BI150" s="10">
        <f t="shared" si="41"/>
        <v>1243.3786426762881</v>
      </c>
      <c r="BJ150">
        <f t="shared" si="42"/>
        <v>-35.919554409547871</v>
      </c>
    </row>
    <row r="151" spans="42:62" x14ac:dyDescent="0.25">
      <c r="AP151" s="1">
        <v>146</v>
      </c>
      <c r="AQ151" s="7">
        <f t="shared" si="31"/>
        <v>-22464.5231000899</v>
      </c>
      <c r="AR151" s="7">
        <f t="shared" si="32"/>
        <v>-5522.6868888773706</v>
      </c>
      <c r="AS151" s="7"/>
      <c r="AT151" s="7">
        <f t="shared" si="33"/>
        <v>-7172.9994256719438</v>
      </c>
      <c r="AU151" s="7">
        <f t="shared" si="34"/>
        <v>1056.0490910340416</v>
      </c>
      <c r="AV151" s="7"/>
      <c r="AX151" s="7">
        <f t="shared" si="35"/>
        <v>235.60286756531337</v>
      </c>
      <c r="AY151" s="7">
        <f t="shared" si="36"/>
        <v>72.252839557221421</v>
      </c>
      <c r="BB151" s="7">
        <f t="shared" si="37"/>
        <v>86.901475017515835</v>
      </c>
      <c r="BC151" s="7">
        <f t="shared" si="38"/>
        <v>547.34499621013549</v>
      </c>
      <c r="BF151" s="7">
        <f t="shared" si="39"/>
        <v>830.75429744967187</v>
      </c>
      <c r="BG151" s="7">
        <f t="shared" si="40"/>
        <v>-450.81784084334453</v>
      </c>
      <c r="BI151" s="10">
        <f t="shared" si="41"/>
        <v>1153.258640032501</v>
      </c>
      <c r="BJ151">
        <f t="shared" si="42"/>
        <v>168.77999492401239</v>
      </c>
    </row>
    <row r="152" spans="42:62" x14ac:dyDescent="0.25">
      <c r="AP152" s="1">
        <v>147</v>
      </c>
      <c r="AQ152" s="7">
        <f t="shared" si="31"/>
        <v>-25906.86548292181</v>
      </c>
      <c r="AR152" s="7">
        <f t="shared" si="32"/>
        <v>-4973.5648439948482</v>
      </c>
      <c r="AS152" s="7"/>
      <c r="AT152" s="7">
        <f t="shared" si="33"/>
        <v>-6596.3701056556929</v>
      </c>
      <c r="AU152" s="7">
        <f t="shared" si="34"/>
        <v>1140.4390884960478</v>
      </c>
      <c r="AV152" s="7"/>
      <c r="AX152" s="7">
        <f t="shared" si="35"/>
        <v>209.25332950633137</v>
      </c>
      <c r="AY152" s="7">
        <f t="shared" si="36"/>
        <v>56.857181316159831</v>
      </c>
      <c r="BB152" s="7">
        <f t="shared" si="37"/>
        <v>196.16206106252559</v>
      </c>
      <c r="BC152" s="7">
        <f t="shared" si="38"/>
        <v>497.25956173264785</v>
      </c>
      <c r="BF152" s="7">
        <f t="shared" si="39"/>
        <v>679.88911045703867</v>
      </c>
      <c r="BG152" s="7">
        <f t="shared" si="40"/>
        <v>-326.05863776375338</v>
      </c>
      <c r="BI152" s="10">
        <f t="shared" si="41"/>
        <v>1085.3045010258957</v>
      </c>
      <c r="BJ152">
        <f t="shared" si="42"/>
        <v>228.0581052850543</v>
      </c>
    </row>
    <row r="153" spans="42:62" x14ac:dyDescent="0.25">
      <c r="AP153" s="1">
        <v>148</v>
      </c>
      <c r="AQ153" s="7">
        <f t="shared" si="31"/>
        <v>-29069.38747312142</v>
      </c>
      <c r="AR153" s="7">
        <f t="shared" si="32"/>
        <v>-4374.8380365861922</v>
      </c>
      <c r="AS153" s="7"/>
      <c r="AT153" s="7">
        <f t="shared" si="33"/>
        <v>-6053.7178551427451</v>
      </c>
      <c r="AU153" s="7">
        <f t="shared" si="34"/>
        <v>1254.468141138575</v>
      </c>
      <c r="AV153" s="7"/>
      <c r="AX153" s="7">
        <f t="shared" si="35"/>
        <v>188.46531444246295</v>
      </c>
      <c r="AY153" s="7">
        <f t="shared" si="36"/>
        <v>45.608783801192459</v>
      </c>
      <c r="BB153" s="7">
        <f t="shared" si="37"/>
        <v>262.24556841668567</v>
      </c>
      <c r="BC153" s="7">
        <f t="shared" si="38"/>
        <v>415.65514572781899</v>
      </c>
      <c r="BF153" s="7">
        <f t="shared" si="39"/>
        <v>565.18049041465156</v>
      </c>
      <c r="BG153" s="7">
        <f t="shared" si="40"/>
        <v>-249.49260781660209</v>
      </c>
      <c r="BI153" s="10">
        <f t="shared" si="41"/>
        <v>1015.8913732738002</v>
      </c>
      <c r="BJ153">
        <f t="shared" si="42"/>
        <v>211.77132171240936</v>
      </c>
    </row>
    <row r="154" spans="42:62" x14ac:dyDescent="0.25">
      <c r="AP154" s="1">
        <v>149</v>
      </c>
      <c r="AQ154" s="7">
        <f t="shared" si="31"/>
        <v>-31969.259979033566</v>
      </c>
      <c r="AR154" s="7">
        <f t="shared" si="32"/>
        <v>-3721.1325508028531</v>
      </c>
      <c r="AS154" s="7"/>
      <c r="AT154" s="7">
        <f t="shared" si="33"/>
        <v>-5545.772168505845</v>
      </c>
      <c r="AU154" s="7">
        <f t="shared" si="34"/>
        <v>1360.3538019947796</v>
      </c>
      <c r="AV154" s="7"/>
      <c r="AX154" s="7">
        <f t="shared" si="35"/>
        <v>171.85963376732681</v>
      </c>
      <c r="AY154" s="7">
        <f t="shared" si="36"/>
        <v>37.107700425475066</v>
      </c>
      <c r="BB154" s="7">
        <f t="shared" si="37"/>
        <v>289.58237934794056</v>
      </c>
      <c r="BC154" s="7">
        <f t="shared" si="38"/>
        <v>331.96690675698653</v>
      </c>
      <c r="BF154" s="7">
        <f t="shared" si="39"/>
        <v>478.81418951748537</v>
      </c>
      <c r="BG154" s="7">
        <f t="shared" si="40"/>
        <v>-200.24582730712376</v>
      </c>
      <c r="BI154" s="10">
        <f t="shared" si="41"/>
        <v>940.25620263275277</v>
      </c>
      <c r="BJ154">
        <f t="shared" si="42"/>
        <v>168.82877987533783</v>
      </c>
    </row>
    <row r="155" spans="42:62" x14ac:dyDescent="0.25">
      <c r="AP155" s="1">
        <v>150</v>
      </c>
      <c r="AQ155" s="7">
        <f t="shared" si="31"/>
        <v>-34624.614037957399</v>
      </c>
      <c r="AR155" s="7">
        <f t="shared" si="32"/>
        <v>-3019.8520523210464</v>
      </c>
      <c r="AS155" s="7"/>
      <c r="AT155" s="7">
        <f t="shared" si="33"/>
        <v>-5075.6440671894688</v>
      </c>
      <c r="AU155" s="7">
        <f t="shared" si="34"/>
        <v>1444.7681919324484</v>
      </c>
      <c r="AV155" s="7"/>
      <c r="AX155" s="7">
        <f t="shared" si="35"/>
        <v>158.40885468700236</v>
      </c>
      <c r="AY155" s="7">
        <f t="shared" si="36"/>
        <v>30.50708447892956</v>
      </c>
      <c r="BB155" s="7">
        <f t="shared" si="37"/>
        <v>292.1156535145854</v>
      </c>
      <c r="BC155" s="7">
        <f t="shared" si="38"/>
        <v>260.0617411889101</v>
      </c>
      <c r="BF155" s="7">
        <f t="shared" si="39"/>
        <v>413.20023800358445</v>
      </c>
      <c r="BG155" s="7">
        <f t="shared" si="40"/>
        <v>-167.09753507527591</v>
      </c>
      <c r="BI155" s="10">
        <f t="shared" si="41"/>
        <v>863.7247462051721</v>
      </c>
      <c r="BJ155">
        <f t="shared" si="42"/>
        <v>123.47129059256375</v>
      </c>
    </row>
    <row r="156" spans="42:62" x14ac:dyDescent="0.25">
      <c r="AP156" s="1">
        <v>151</v>
      </c>
      <c r="AQ156" s="7">
        <f t="shared" si="31"/>
        <v>-37054.470478276489</v>
      </c>
      <c r="AR156" s="7">
        <f t="shared" si="32"/>
        <v>-2282.0340450307517</v>
      </c>
      <c r="AS156" s="7"/>
      <c r="AT156" s="7">
        <f t="shared" si="33"/>
        <v>-4643.7816940868825</v>
      </c>
      <c r="AU156" s="7">
        <f t="shared" si="34"/>
        <v>1506.5038372287304</v>
      </c>
      <c r="AV156" s="7"/>
      <c r="AX156" s="7">
        <f t="shared" si="35"/>
        <v>147.36338542520247</v>
      </c>
      <c r="AY156" s="7">
        <f t="shared" si="36"/>
        <v>25.265568870176018</v>
      </c>
      <c r="BB156" s="7">
        <f t="shared" si="37"/>
        <v>281.77501573130144</v>
      </c>
      <c r="BC156" s="7">
        <f t="shared" si="38"/>
        <v>202.92452589830646</v>
      </c>
      <c r="BF156" s="7">
        <f t="shared" si="39"/>
        <v>362.56737877160867</v>
      </c>
      <c r="BG156" s="7">
        <f t="shared" si="40"/>
        <v>-143.85262057985776</v>
      </c>
      <c r="BI156" s="10">
        <f t="shared" si="41"/>
        <v>791.70577992811263</v>
      </c>
      <c r="BJ156">
        <f t="shared" si="42"/>
        <v>84.337474188624725</v>
      </c>
    </row>
    <row r="157" spans="42:62" x14ac:dyDescent="0.25">
      <c r="AP157" s="1">
        <v>152</v>
      </c>
      <c r="AQ157" s="7">
        <f t="shared" si="31"/>
        <v>-39277.398102828913</v>
      </c>
      <c r="AR157" s="7">
        <f t="shared" si="32"/>
        <v>-1518.2399421428083</v>
      </c>
      <c r="AS157" s="7"/>
      <c r="AT157" s="7">
        <f t="shared" si="33"/>
        <v>-4247.9288041228265</v>
      </c>
      <c r="AU157" s="7">
        <f t="shared" si="34"/>
        <v>1548.6725743230427</v>
      </c>
      <c r="AV157" s="7"/>
      <c r="AX157" s="7">
        <f t="shared" si="35"/>
        <v>138.17887726316519</v>
      </c>
      <c r="AY157" s="7">
        <f t="shared" si="36"/>
        <v>21.022013616951511</v>
      </c>
      <c r="BB157" s="7">
        <f t="shared" si="37"/>
        <v>266.02004678346759</v>
      </c>
      <c r="BC157" s="7">
        <f t="shared" si="38"/>
        <v>158.94690310008113</v>
      </c>
      <c r="BF157" s="7">
        <f t="shared" si="39"/>
        <v>322.81391047773394</v>
      </c>
      <c r="BG157" s="7">
        <f t="shared" si="40"/>
        <v>-126.96703732714828</v>
      </c>
      <c r="BI157" s="10">
        <f t="shared" si="41"/>
        <v>727.01283452436667</v>
      </c>
      <c r="BJ157">
        <f t="shared" si="42"/>
        <v>53.001879389884365</v>
      </c>
    </row>
    <row r="158" spans="42:62" x14ac:dyDescent="0.25">
      <c r="AP158" s="1">
        <v>153</v>
      </c>
      <c r="AQ158" s="7">
        <f t="shared" si="31"/>
        <v>-41310.485900574778</v>
      </c>
      <c r="AR158" s="7">
        <f t="shared" si="32"/>
        <v>-737.27842005755144</v>
      </c>
      <c r="AS158" s="7"/>
      <c r="AT158" s="7">
        <f t="shared" si="33"/>
        <v>-3884.4223868606432</v>
      </c>
      <c r="AU158" s="7">
        <f t="shared" si="34"/>
        <v>1575.1735140179849</v>
      </c>
      <c r="AV158" s="7"/>
      <c r="AX158" s="7">
        <f t="shared" si="35"/>
        <v>130.45793181662864</v>
      </c>
      <c r="AY158" s="7">
        <f t="shared" si="36"/>
        <v>17.527479854280198</v>
      </c>
      <c r="BB158" s="7">
        <f t="shared" si="37"/>
        <v>248.8596750090438</v>
      </c>
      <c r="BC158" s="7">
        <f t="shared" si="38"/>
        <v>125.38783163198882</v>
      </c>
      <c r="BF158" s="7">
        <f t="shared" si="39"/>
        <v>291.07436967585039</v>
      </c>
      <c r="BG158" s="7">
        <f t="shared" si="40"/>
        <v>-114.33371354796937</v>
      </c>
      <c r="BI158" s="10">
        <f t="shared" si="41"/>
        <v>670.39197650152278</v>
      </c>
      <c r="BJ158">
        <f t="shared" si="42"/>
        <v>28.581597938299648</v>
      </c>
    </row>
    <row r="159" spans="42:62" x14ac:dyDescent="0.25">
      <c r="AP159" s="1">
        <v>154</v>
      </c>
      <c r="AQ159" s="7">
        <f t="shared" si="31"/>
        <v>-43168.898096942416</v>
      </c>
      <c r="AR159" s="7">
        <f t="shared" si="32"/>
        <v>53.881036693728447</v>
      </c>
      <c r="AS159" s="7"/>
      <c r="AT159" s="7">
        <f t="shared" si="33"/>
        <v>-3549.2263986098819</v>
      </c>
      <c r="AU159" s="7">
        <f t="shared" si="34"/>
        <v>1589.4643129871347</v>
      </c>
      <c r="AV159" s="7"/>
      <c r="AX159" s="7">
        <f t="shared" si="35"/>
        <v>123.90720826377444</v>
      </c>
      <c r="AY159" s="7">
        <f t="shared" si="36"/>
        <v>14.605729099901595</v>
      </c>
      <c r="BB159" s="7">
        <f t="shared" si="37"/>
        <v>232.23390879574731</v>
      </c>
      <c r="BC159" s="7">
        <f t="shared" si="38"/>
        <v>99.695120351923322</v>
      </c>
      <c r="BF159" s="7">
        <f t="shared" si="39"/>
        <v>265.3410088120774</v>
      </c>
      <c r="BG159" s="7">
        <f t="shared" si="40"/>
        <v>-104.65096400394371</v>
      </c>
      <c r="BI159" s="10">
        <f t="shared" si="41"/>
        <v>621.48212587159912</v>
      </c>
      <c r="BJ159">
        <f t="shared" si="42"/>
        <v>9.6498854478812035</v>
      </c>
    </row>
    <row r="160" spans="42:62" x14ac:dyDescent="0.25">
      <c r="AP160" s="1">
        <v>155</v>
      </c>
      <c r="AQ160" s="7">
        <f t="shared" si="31"/>
        <v>-44865.82603051341</v>
      </c>
      <c r="AR160" s="7">
        <f t="shared" si="32"/>
        <v>849.81942886828097</v>
      </c>
      <c r="AS160" s="7"/>
      <c r="AT160" s="7">
        <f t="shared" si="33"/>
        <v>-3238.4853356740823</v>
      </c>
      <c r="AU160" s="7">
        <f t="shared" si="34"/>
        <v>1594.2892557110754</v>
      </c>
      <c r="AV160" s="7"/>
      <c r="AX160" s="7">
        <f t="shared" si="35"/>
        <v>118.30719030350149</v>
      </c>
      <c r="AY160" s="7">
        <f t="shared" si="36"/>
        <v>12.129101354716862</v>
      </c>
      <c r="BB160" s="7">
        <f t="shared" si="37"/>
        <v>216.97279025735799</v>
      </c>
      <c r="BC160" s="7">
        <f t="shared" si="38"/>
        <v>79.842117749913456</v>
      </c>
      <c r="BF160" s="7">
        <f t="shared" si="39"/>
        <v>244.1904245105965</v>
      </c>
      <c r="BG160" s="7">
        <f t="shared" si="40"/>
        <v>-97.085010399364378</v>
      </c>
      <c r="BI160" s="10">
        <f t="shared" si="41"/>
        <v>579.47040507145596</v>
      </c>
      <c r="BJ160">
        <f t="shared" si="42"/>
        <v>-5.1137912947340602</v>
      </c>
    </row>
    <row r="161" spans="42:62" x14ac:dyDescent="0.25">
      <c r="AP161" s="1">
        <v>156</v>
      </c>
      <c r="AQ161" s="7">
        <f t="shared" si="31"/>
        <v>-46412.634897716518</v>
      </c>
      <c r="AR161" s="7">
        <f t="shared" si="32"/>
        <v>1646.3248328119769</v>
      </c>
      <c r="AS161" s="7"/>
      <c r="AT161" s="7">
        <f t="shared" si="33"/>
        <v>-2948.7501331383542</v>
      </c>
      <c r="AU161" s="7">
        <f t="shared" si="34"/>
        <v>1591.7323600637083</v>
      </c>
      <c r="AV161" s="7"/>
      <c r="AX161" s="7">
        <f t="shared" si="35"/>
        <v>113.49123479410812</v>
      </c>
      <c r="AY161" s="7">
        <f t="shared" si="36"/>
        <v>10.003229413061854</v>
      </c>
      <c r="BB161" s="7">
        <f t="shared" si="37"/>
        <v>203.34854188183434</v>
      </c>
      <c r="BC161" s="7">
        <f t="shared" si="38"/>
        <v>64.314206862755427</v>
      </c>
      <c r="BF161" s="7">
        <f t="shared" si="39"/>
        <v>226.59786585039299</v>
      </c>
      <c r="BG161" s="7">
        <f t="shared" si="40"/>
        <v>-91.083836869688838</v>
      </c>
      <c r="BI161" s="10">
        <f t="shared" si="41"/>
        <v>543.43764252633548</v>
      </c>
      <c r="BJ161">
        <f t="shared" si="42"/>
        <v>-16.766400593871559</v>
      </c>
    </row>
    <row r="162" spans="42:62" x14ac:dyDescent="0.25">
      <c r="AP162" s="1">
        <v>157</v>
      </c>
      <c r="AQ162" s="7">
        <f t="shared" si="31"/>
        <v>-47819.080258969901</v>
      </c>
      <c r="AR162" s="7">
        <f t="shared" si="32"/>
        <v>2440.0952127695973</v>
      </c>
      <c r="AS162" s="7"/>
      <c r="AT162" s="7">
        <f t="shared" si="33"/>
        <v>-2677.0313118751865</v>
      </c>
      <c r="AU162" s="7">
        <f t="shared" si="34"/>
        <v>1583.3491597667726</v>
      </c>
      <c r="AV162" s="7"/>
      <c r="AX162" s="7">
        <f t="shared" si="35"/>
        <v>109.3310763079847</v>
      </c>
      <c r="AY162" s="7">
        <f t="shared" si="36"/>
        <v>8.157067808814114</v>
      </c>
      <c r="BB162" s="7">
        <f t="shared" si="37"/>
        <v>191.36917378390837</v>
      </c>
      <c r="BC162" s="7">
        <f t="shared" si="38"/>
        <v>52.005052631127711</v>
      </c>
      <c r="BF162" s="7">
        <f t="shared" si="39"/>
        <v>211.81337545759769</v>
      </c>
      <c r="BG162" s="7">
        <f t="shared" si="40"/>
        <v>-86.271013131926765</v>
      </c>
      <c r="BI162" s="10">
        <f t="shared" si="41"/>
        <v>512.51362554949083</v>
      </c>
      <c r="BJ162">
        <f t="shared" si="42"/>
        <v>-26.108892691984941</v>
      </c>
    </row>
    <row r="163" spans="42:62" x14ac:dyDescent="0.25">
      <c r="AP163" s="1">
        <v>158</v>
      </c>
      <c r="AQ163" s="7">
        <f t="shared" si="31"/>
        <v>-49093.531711713804</v>
      </c>
      <c r="AR163" s="7">
        <f t="shared" si="32"/>
        <v>3228.5061810664856</v>
      </c>
      <c r="AS163" s="7"/>
      <c r="AT163" s="7">
        <f t="shared" si="33"/>
        <v>-2420.7744991004411</v>
      </c>
      <c r="AU163" s="7">
        <f t="shared" si="34"/>
        <v>1570.29471342078</v>
      </c>
      <c r="AV163" s="7"/>
      <c r="AX163" s="7">
        <f t="shared" si="35"/>
        <v>105.72672956170615</v>
      </c>
      <c r="AY163" s="7">
        <f t="shared" si="36"/>
        <v>6.5362279309036833</v>
      </c>
      <c r="BB163" s="7">
        <f t="shared" si="37"/>
        <v>180.92821225328035</v>
      </c>
      <c r="BC163" s="7">
        <f t="shared" si="38"/>
        <v>42.110881658636856</v>
      </c>
      <c r="BF163" s="7">
        <f t="shared" si="39"/>
        <v>199.27914543580309</v>
      </c>
      <c r="BG163" s="7">
        <f t="shared" si="40"/>
        <v>-82.383084169444388</v>
      </c>
      <c r="BI163" s="10">
        <f t="shared" si="41"/>
        <v>485.93408725078962</v>
      </c>
      <c r="BJ163">
        <f t="shared" si="42"/>
        <v>-33.735974579903846</v>
      </c>
    </row>
    <row r="164" spans="42:62" x14ac:dyDescent="0.25">
      <c r="AP164" s="1">
        <v>159</v>
      </c>
      <c r="AQ164" s="7">
        <f t="shared" si="31"/>
        <v>-50243.177200357677</v>
      </c>
      <c r="AR164" s="7">
        <f t="shared" si="32"/>
        <v>4009.4365409543875</v>
      </c>
      <c r="AS164" s="7"/>
      <c r="AT164" s="7">
        <f t="shared" si="33"/>
        <v>-2177.8074554750465</v>
      </c>
      <c r="AU164" s="7">
        <f t="shared" si="34"/>
        <v>1553.426726130828</v>
      </c>
      <c r="AV164" s="7"/>
      <c r="AX164" s="7">
        <f t="shared" si="35"/>
        <v>102.59937690336228</v>
      </c>
      <c r="AY164" s="7">
        <f t="shared" si="36"/>
        <v>5.0984259285170994</v>
      </c>
      <c r="BB164" s="7">
        <f t="shared" si="37"/>
        <v>171.87871293808561</v>
      </c>
      <c r="BC164" s="7">
        <f t="shared" si="38"/>
        <v>34.04570658345078</v>
      </c>
      <c r="BF164" s="7">
        <f t="shared" si="39"/>
        <v>188.57387435778949</v>
      </c>
      <c r="BG164" s="7">
        <f t="shared" si="40"/>
        <v>-79.231462503432795</v>
      </c>
      <c r="BI164" s="10">
        <f t="shared" si="41"/>
        <v>463.05196419923737</v>
      </c>
      <c r="BJ164">
        <f t="shared" si="42"/>
        <v>-40.087329991464912</v>
      </c>
    </row>
    <row r="165" spans="42:62" x14ac:dyDescent="0.25">
      <c r="AP165" s="1">
        <v>160</v>
      </c>
      <c r="AQ165" s="7">
        <f t="shared" si="31"/>
        <v>-51274.199432570298</v>
      </c>
      <c r="AR165" s="7">
        <f t="shared" si="32"/>
        <v>4781.138987770868</v>
      </c>
      <c r="AS165" s="7"/>
      <c r="AT165" s="7">
        <f t="shared" si="33"/>
        <v>-1946.2814733754278</v>
      </c>
      <c r="AU165" s="7">
        <f t="shared" si="34"/>
        <v>1533.3830611350954</v>
      </c>
      <c r="AV165" s="7"/>
      <c r="AX165" s="7">
        <f t="shared" si="35"/>
        <v>99.886293454335487</v>
      </c>
      <c r="AY165" s="7">
        <f t="shared" si="36"/>
        <v>3.8103121619205118</v>
      </c>
      <c r="BB165" s="7">
        <f t="shared" si="37"/>
        <v>164.06849030375952</v>
      </c>
      <c r="BC165" s="7">
        <f t="shared" si="38"/>
        <v>27.378819055871585</v>
      </c>
      <c r="BF165" s="7">
        <f t="shared" si="39"/>
        <v>179.37481240827583</v>
      </c>
      <c r="BG165" s="7">
        <f t="shared" si="40"/>
        <v>-76.678540929137881</v>
      </c>
      <c r="BI165" s="10">
        <f t="shared" si="41"/>
        <v>443.32959616637083</v>
      </c>
      <c r="BJ165">
        <f t="shared" si="42"/>
        <v>-45.489409711345779</v>
      </c>
    </row>
    <row r="166" spans="42:62" x14ac:dyDescent="0.25">
      <c r="AP166" s="1">
        <v>161</v>
      </c>
      <c r="AQ166" s="7">
        <f t="shared" si="31"/>
        <v>-52191.923969737218</v>
      </c>
      <c r="AR166" s="7">
        <f t="shared" si="32"/>
        <v>5542.1443421244976</v>
      </c>
      <c r="AS166" s="7"/>
      <c r="AT166" s="7">
        <f t="shared" si="33"/>
        <v>-1724.6166752922425</v>
      </c>
      <c r="AU166" s="7">
        <f t="shared" si="34"/>
        <v>1510.6383562794226</v>
      </c>
      <c r="AV166" s="7"/>
      <c r="AX166" s="7">
        <f t="shared" si="35"/>
        <v>97.537178069464275</v>
      </c>
      <c r="AY166" s="7">
        <f t="shared" si="36"/>
        <v>2.6452226985467626</v>
      </c>
      <c r="BB166" s="7">
        <f t="shared" si="37"/>
        <v>157.35582126216178</v>
      </c>
      <c r="BC166" s="7">
        <f t="shared" si="38"/>
        <v>21.79023343782146</v>
      </c>
      <c r="BF166" s="7">
        <f t="shared" si="39"/>
        <v>171.43148930924087</v>
      </c>
      <c r="BG166" s="7">
        <f t="shared" si="40"/>
        <v>-74.622310385863429</v>
      </c>
      <c r="BI166" s="10">
        <f t="shared" si="41"/>
        <v>426.32448864086695</v>
      </c>
      <c r="BJ166">
        <f t="shared" si="42"/>
        <v>-50.186854249495212</v>
      </c>
    </row>
    <row r="167" spans="42:62" x14ac:dyDescent="0.25">
      <c r="AP167" s="1">
        <v>162</v>
      </c>
      <c r="AQ167" s="7">
        <f t="shared" si="31"/>
        <v>-53000.94174630323</v>
      </c>
      <c r="AR167" s="7">
        <f t="shared" si="32"/>
        <v>6291.1901634830228</v>
      </c>
      <c r="AS167" s="7"/>
      <c r="AT167" s="7">
        <f t="shared" si="33"/>
        <v>-1511.454430971809</v>
      </c>
      <c r="AU167" s="7">
        <f t="shared" si="34"/>
        <v>1485.5449291546749</v>
      </c>
      <c r="AV167" s="7"/>
      <c r="AX167" s="7">
        <f t="shared" si="35"/>
        <v>95.511467093449355</v>
      </c>
      <c r="AY167" s="7">
        <f t="shared" si="36"/>
        <v>1.5815576917345153</v>
      </c>
      <c r="BB167" s="7">
        <f t="shared" si="37"/>
        <v>151.61550207361162</v>
      </c>
      <c r="BC167" s="7">
        <f t="shared" si="38"/>
        <v>17.039303598724157</v>
      </c>
      <c r="BF167" s="7">
        <f t="shared" si="39"/>
        <v>164.5472532711884</v>
      </c>
      <c r="BG167" s="7">
        <f t="shared" si="40"/>
        <v>-72.986210953777572</v>
      </c>
      <c r="BI167" s="10">
        <f t="shared" si="41"/>
        <v>411.67422243824939</v>
      </c>
      <c r="BJ167">
        <f t="shared" si="42"/>
        <v>-54.365349663318895</v>
      </c>
    </row>
    <row r="168" spans="42:62" x14ac:dyDescent="0.25">
      <c r="AP168" s="1">
        <v>163</v>
      </c>
      <c r="AQ168" s="7">
        <f t="shared" si="31"/>
        <v>-53705.209683984351</v>
      </c>
      <c r="AR168" s="7">
        <f t="shared" si="32"/>
        <v>7027.1669593524457</v>
      </c>
      <c r="AS168" s="7"/>
      <c r="AT168" s="7">
        <f t="shared" si="33"/>
        <v>-1305.6173197526844</v>
      </c>
      <c r="AU168" s="7">
        <f t="shared" si="34"/>
        <v>1458.3622543230156</v>
      </c>
      <c r="AV168" s="7"/>
      <c r="AX168" s="7">
        <f t="shared" si="35"/>
        <v>93.776345230048406</v>
      </c>
      <c r="AY168" s="7">
        <f t="shared" si="36"/>
        <v>0.60159322042568553</v>
      </c>
      <c r="BB168" s="7">
        <f t="shared" si="37"/>
        <v>146.74028647375746</v>
      </c>
      <c r="BC168" s="7">
        <f t="shared" si="38"/>
        <v>12.942639316395006</v>
      </c>
      <c r="BF168" s="7">
        <f t="shared" si="39"/>
        <v>158.56610598623425</v>
      </c>
      <c r="BG168" s="7">
        <f t="shared" si="40"/>
        <v>-71.712289369358288</v>
      </c>
      <c r="BI168" s="10">
        <f t="shared" si="41"/>
        <v>399.08273769004006</v>
      </c>
      <c r="BJ168">
        <f t="shared" si="42"/>
        <v>-58.168056832537602</v>
      </c>
    </row>
    <row r="169" spans="42:62" x14ac:dyDescent="0.25">
      <c r="AP169" s="1">
        <v>164</v>
      </c>
      <c r="AQ169" s="7">
        <f t="shared" si="31"/>
        <v>-54308.133001649439</v>
      </c>
      <c r="AR169" s="7">
        <f t="shared" si="32"/>
        <v>7749.0770794098862</v>
      </c>
      <c r="AS169" s="7"/>
      <c r="AT169" s="7">
        <f t="shared" si="33"/>
        <v>-1106.0759509076643</v>
      </c>
      <c r="AU169" s="7">
        <f t="shared" si="34"/>
        <v>1429.2782259067467</v>
      </c>
      <c r="AV169" s="7"/>
      <c r="AX169" s="7">
        <f t="shared" si="35"/>
        <v>92.305258493220734</v>
      </c>
      <c r="AY169" s="7">
        <f t="shared" si="36"/>
        <v>-0.30940252797302387</v>
      </c>
      <c r="BB169" s="7">
        <f t="shared" si="37"/>
        <v>142.64024676900087</v>
      </c>
      <c r="BC169" s="7">
        <f t="shared" si="38"/>
        <v>9.358486538324243</v>
      </c>
      <c r="BF169" s="7">
        <f t="shared" si="39"/>
        <v>153.36318140626028</v>
      </c>
      <c r="BG169" s="7">
        <f t="shared" si="40"/>
        <v>-70.756498422640092</v>
      </c>
      <c r="BI169" s="10">
        <f t="shared" si="41"/>
        <v>388.30868666848187</v>
      </c>
      <c r="BJ169">
        <f t="shared" si="42"/>
        <v>-61.70741441228887</v>
      </c>
    </row>
    <row r="170" spans="42:62" x14ac:dyDescent="0.25">
      <c r="AP170" s="1">
        <v>165</v>
      </c>
      <c r="AQ170" s="7">
        <f t="shared" si="31"/>
        <v>-54812.632391269712</v>
      </c>
      <c r="AR170" s="7">
        <f t="shared" si="32"/>
        <v>8456.0027655617232</v>
      </c>
      <c r="AS170" s="7"/>
      <c r="AT170" s="7">
        <f t="shared" si="33"/>
        <v>-911.92160757342333</v>
      </c>
      <c r="AU170" s="7">
        <f t="shared" si="34"/>
        <v>1398.4245187006022</v>
      </c>
      <c r="AV170" s="7"/>
      <c r="AX170" s="7">
        <f t="shared" si="35"/>
        <v>91.076794582579254</v>
      </c>
      <c r="AY170" s="7">
        <f t="shared" si="36"/>
        <v>-1.1638364366604399</v>
      </c>
      <c r="BB170" s="7">
        <f t="shared" si="37"/>
        <v>139.24132900817375</v>
      </c>
      <c r="BC170" s="7">
        <f t="shared" si="38"/>
        <v>6.1755808779931582</v>
      </c>
      <c r="BF170" s="7">
        <f t="shared" si="39"/>
        <v>148.83776853073002</v>
      </c>
      <c r="BG170" s="7">
        <f t="shared" si="40"/>
        <v>-70.08541694513427</v>
      </c>
      <c r="BI170" s="10">
        <f t="shared" si="41"/>
        <v>379.15589212148302</v>
      </c>
      <c r="BJ170">
        <f t="shared" si="42"/>
        <v>-65.073672503801561</v>
      </c>
    </row>
    <row r="171" spans="42:62" x14ac:dyDescent="0.25">
      <c r="AP171" s="1">
        <v>166</v>
      </c>
      <c r="AQ171" s="7">
        <f t="shared" si="31"/>
        <v>-55221.19870854124</v>
      </c>
      <c r="AR171" s="7">
        <f t="shared" si="32"/>
        <v>9147.080815849049</v>
      </c>
      <c r="AS171" s="7"/>
      <c r="AT171" s="7">
        <f t="shared" si="33"/>
        <v>-722.34366151268182</v>
      </c>
      <c r="AU171" s="7">
        <f t="shared" si="34"/>
        <v>1365.8876824487015</v>
      </c>
      <c r="AV171" s="7"/>
      <c r="AX171" s="7">
        <f t="shared" si="35"/>
        <v>90.073836722666314</v>
      </c>
      <c r="AY171" s="7">
        <f t="shared" si="36"/>
        <v>-1.972301572202642</v>
      </c>
      <c r="BB171" s="7">
        <f t="shared" si="37"/>
        <v>136.48372531554983</v>
      </c>
      <c r="BC171" s="7">
        <f t="shared" si="38"/>
        <v>3.3051001077311888</v>
      </c>
      <c r="BF171" s="7">
        <f t="shared" si="39"/>
        <v>144.90813605249696</v>
      </c>
      <c r="BG171" s="7">
        <f t="shared" si="40"/>
        <v>-69.673933759342759</v>
      </c>
      <c r="BI171" s="10">
        <f t="shared" si="41"/>
        <v>371.46569809071309</v>
      </c>
      <c r="BJ171">
        <f t="shared" si="42"/>
        <v>-68.341135223814206</v>
      </c>
    </row>
    <row r="172" spans="42:62" x14ac:dyDescent="0.25">
      <c r="AP172" s="1">
        <v>167</v>
      </c>
      <c r="AQ172" s="7">
        <f t="shared" si="31"/>
        <v>-55535.937327036241</v>
      </c>
      <c r="AR172" s="7">
        <f t="shared" si="32"/>
        <v>9821.4820151704225</v>
      </c>
      <c r="AS172" s="7"/>
      <c r="AT172" s="7">
        <f t="shared" si="33"/>
        <v>-536.61081246732533</v>
      </c>
      <c r="AU172" s="7">
        <f t="shared" si="34"/>
        <v>1331.7171148367945</v>
      </c>
      <c r="AV172" s="7"/>
      <c r="AX172" s="7">
        <f t="shared" si="35"/>
        <v>89.282924836230606</v>
      </c>
      <c r="AY172" s="7">
        <f t="shared" si="36"/>
        <v>-2.7439747437268549</v>
      </c>
      <c r="BB172" s="7">
        <f t="shared" si="37"/>
        <v>134.32035803891796</v>
      </c>
      <c r="BC172" s="7">
        <f t="shared" si="38"/>
        <v>0.67477042797606779</v>
      </c>
      <c r="BF172" s="7">
        <f t="shared" si="39"/>
        <v>141.50765112382109</v>
      </c>
      <c r="BG172" s="7">
        <f t="shared" si="40"/>
        <v>-69.503600866225938</v>
      </c>
      <c r="BI172" s="10">
        <f t="shared" si="41"/>
        <v>365.11093399896964</v>
      </c>
      <c r="BJ172">
        <f t="shared" si="42"/>
        <v>-71.572805181976719</v>
      </c>
    </row>
    <row r="173" spans="42:62" x14ac:dyDescent="0.25">
      <c r="AP173" s="1">
        <v>168</v>
      </c>
      <c r="AQ173" s="7">
        <f t="shared" si="31"/>
        <v>-55758.603866520032</v>
      </c>
      <c r="AR173" s="7">
        <f t="shared" si="32"/>
        <v>10478.393971941074</v>
      </c>
      <c r="AS173" s="7"/>
      <c r="AT173" s="7">
        <f t="shared" si="33"/>
        <v>-354.05534546784054</v>
      </c>
      <c r="AU173" s="7">
        <f t="shared" si="34"/>
        <v>1295.9307122458063</v>
      </c>
      <c r="AV173" s="7"/>
      <c r="AX173" s="7">
        <f t="shared" si="35"/>
        <v>88.693777272529445</v>
      </c>
      <c r="AY173" s="7">
        <f t="shared" si="36"/>
        <v>-3.4869308315478107</v>
      </c>
      <c r="BB173" s="7">
        <f t="shared" si="37"/>
        <v>132.71560671867326</v>
      </c>
      <c r="BC173" s="7">
        <f t="shared" si="38"/>
        <v>-1.7755264292116313</v>
      </c>
      <c r="BF173" s="7">
        <f t="shared" si="39"/>
        <v>138.58184021883099</v>
      </c>
      <c r="BG173" s="7">
        <f t="shared" si="40"/>
        <v>-69.561462559865262</v>
      </c>
      <c r="BI173" s="10">
        <f t="shared" si="41"/>
        <v>359.99122421003369</v>
      </c>
      <c r="BJ173">
        <f t="shared" si="42"/>
        <v>-74.82391982062471</v>
      </c>
    </row>
    <row r="174" spans="42:62" x14ac:dyDescent="0.25">
      <c r="AP174" s="1">
        <v>169</v>
      </c>
      <c r="AQ174" s="7">
        <f t="shared" si="31"/>
        <v>-55890.632636227703</v>
      </c>
      <c r="AR174" s="7">
        <f t="shared" si="32"/>
        <v>11117.006338086398</v>
      </c>
      <c r="AS174" s="7"/>
      <c r="AT174" s="7">
        <f t="shared" si="33"/>
        <v>-174.05973336282369</v>
      </c>
      <c r="AU174" s="7">
        <f t="shared" si="34"/>
        <v>1258.5187523354939</v>
      </c>
      <c r="AV174" s="7"/>
      <c r="AX174" s="7">
        <f t="shared" si="35"/>
        <v>88.298940034864486</v>
      </c>
      <c r="AY174" s="7">
        <f t="shared" si="36"/>
        <v>-4.2083958804680597</v>
      </c>
      <c r="BB174" s="7">
        <f t="shared" si="37"/>
        <v>131.64433069005403</v>
      </c>
      <c r="BC174" s="7">
        <f t="shared" si="38"/>
        <v>-4.0971011362308349</v>
      </c>
      <c r="BF174" s="7">
        <f t="shared" si="39"/>
        <v>136.0861449135534</v>
      </c>
      <c r="BG174" s="7">
        <f t="shared" si="40"/>
        <v>-69.839232195020955</v>
      </c>
      <c r="BI174" s="10">
        <f t="shared" si="41"/>
        <v>356.0294156384719</v>
      </c>
      <c r="BJ174">
        <f t="shared" si="42"/>
        <v>-78.144729211719849</v>
      </c>
    </row>
    <row r="175" spans="42:62" x14ac:dyDescent="0.25">
      <c r="AP175" s="1">
        <v>170</v>
      </c>
      <c r="AQ175" s="7">
        <f t="shared" si="31"/>
        <v>-55933.158825954306</v>
      </c>
      <c r="AR175" s="7">
        <f t="shared" si="32"/>
        <v>11736.497623102679</v>
      </c>
      <c r="AS175" s="7"/>
      <c r="AT175" s="7">
        <f t="shared" si="33"/>
        <v>3.9549744564122591</v>
      </c>
      <c r="AU175" s="7">
        <f t="shared" si="34"/>
        <v>1219.4463877296339</v>
      </c>
      <c r="AV175" s="7"/>
      <c r="AX175" s="7">
        <f t="shared" si="35"/>
        <v>88.093540428046992</v>
      </c>
      <c r="AY175" s="7">
        <f t="shared" si="36"/>
        <v>-4.91495521066821</v>
      </c>
      <c r="BB175" s="7">
        <f t="shared" si="37"/>
        <v>131.09120665692339</v>
      </c>
      <c r="BC175" s="7">
        <f t="shared" si="38"/>
        <v>-6.3350837000443985</v>
      </c>
      <c r="BF175" s="7">
        <f t="shared" si="39"/>
        <v>133.98419695090499</v>
      </c>
      <c r="BG175" s="7">
        <f t="shared" si="40"/>
        <v>-70.332731090806718</v>
      </c>
      <c r="BI175" s="10">
        <f t="shared" si="41"/>
        <v>353.16894403587537</v>
      </c>
      <c r="BJ175">
        <f t="shared" si="42"/>
        <v>-81.582770001519322</v>
      </c>
    </row>
    <row r="176" spans="42:62" x14ac:dyDescent="0.25">
      <c r="AP176" s="1">
        <v>171</v>
      </c>
      <c r="AQ176" s="7">
        <f t="shared" si="31"/>
        <v>-55887.035220721613</v>
      </c>
      <c r="AR176" s="7">
        <f t="shared" si="32"/>
        <v>12336.022970717306</v>
      </c>
      <c r="AS176" s="7"/>
      <c r="AT176" s="7">
        <f t="shared" si="33"/>
        <v>180.53944647434994</v>
      </c>
      <c r="AU176" s="7">
        <f t="shared" si="34"/>
        <v>1178.6550027288743</v>
      </c>
      <c r="AV176" s="7"/>
      <c r="AX176" s="7">
        <f t="shared" si="35"/>
        <v>88.075129542485996</v>
      </c>
      <c r="AY176" s="7">
        <f t="shared" si="36"/>
        <v>-5.6127288195870886</v>
      </c>
      <c r="BB176" s="7">
        <f t="shared" si="37"/>
        <v>131.05039101170172</v>
      </c>
      <c r="BC176" s="7">
        <f t="shared" si="38"/>
        <v>-8.5305660342778307</v>
      </c>
      <c r="BF176" s="7">
        <f t="shared" si="39"/>
        <v>132.24648642440593</v>
      </c>
      <c r="BG176" s="7">
        <f t="shared" si="40"/>
        <v>-71.041532976205303</v>
      </c>
      <c r="BI176" s="10">
        <f t="shared" si="41"/>
        <v>351.37200697859362</v>
      </c>
      <c r="BJ176">
        <f t="shared" si="42"/>
        <v>-85.184827830070219</v>
      </c>
    </row>
    <row r="177" spans="42:62" x14ac:dyDescent="0.25">
      <c r="AP177" s="1">
        <v>172</v>
      </c>
      <c r="AQ177" s="7">
        <f t="shared" si="31"/>
        <v>-55752.843996612115</v>
      </c>
      <c r="AR177" s="7">
        <f t="shared" si="32"/>
        <v>12914.702368602984</v>
      </c>
      <c r="AS177" s="7"/>
      <c r="AT177" s="7">
        <f t="shared" si="33"/>
        <v>356.22544996364672</v>
      </c>
      <c r="AU177" s="7">
        <f t="shared" si="34"/>
        <v>1136.0625888138391</v>
      </c>
      <c r="AV177" s="7"/>
      <c r="AX177" s="7">
        <f t="shared" si="35"/>
        <v>88.24360388585184</v>
      </c>
      <c r="AY177" s="7">
        <f t="shared" si="36"/>
        <v>-6.3075235960270302</v>
      </c>
      <c r="BB177" s="7">
        <f t="shared" si="37"/>
        <v>131.52552066321891</v>
      </c>
      <c r="BC177" s="7">
        <f t="shared" si="38"/>
        <v>-10.722440616057041</v>
      </c>
      <c r="BF177" s="7">
        <f t="shared" si="39"/>
        <v>130.84933154874292</v>
      </c>
      <c r="BG177" s="7">
        <f t="shared" si="40"/>
        <v>-71.968777662147033</v>
      </c>
      <c r="BI177" s="10">
        <f t="shared" si="41"/>
        <v>350.61845609781369</v>
      </c>
      <c r="BJ177">
        <f t="shared" si="42"/>
        <v>-88.998741874231101</v>
      </c>
    </row>
    <row r="178" spans="42:62" x14ac:dyDescent="0.25">
      <c r="AP178" s="1">
        <v>173</v>
      </c>
      <c r="AQ178" s="7">
        <f t="shared" si="31"/>
        <v>-55530.903964618068</v>
      </c>
      <c r="AR178" s="7">
        <f t="shared" si="32"/>
        <v>13471.608820275625</v>
      </c>
      <c r="AS178" s="7"/>
      <c r="AT178" s="7">
        <f t="shared" si="33"/>
        <v>531.53467801255351</v>
      </c>
      <c r="AU178" s="7">
        <f t="shared" si="34"/>
        <v>1091.5632178767235</v>
      </c>
      <c r="AV178" s="7"/>
      <c r="AX178" s="7">
        <f t="shared" si="35"/>
        <v>88.601201404937484</v>
      </c>
      <c r="AY178" s="7">
        <f t="shared" si="36"/>
        <v>-7.0049699927408673</v>
      </c>
      <c r="BB178" s="7">
        <f t="shared" si="37"/>
        <v>132.53007896946744</v>
      </c>
      <c r="BC178" s="7">
        <f t="shared" si="38"/>
        <v>-12.94908205995524</v>
      </c>
      <c r="BF178" s="7">
        <f t="shared" si="39"/>
        <v>129.77408302537762</v>
      </c>
      <c r="BG178" s="7">
        <f t="shared" si="40"/>
        <v>-73.121132554756784</v>
      </c>
      <c r="BI178" s="10">
        <f t="shared" si="41"/>
        <v>350.90536339978257</v>
      </c>
      <c r="BJ178">
        <f t="shared" si="42"/>
        <v>-93.075184607452897</v>
      </c>
    </row>
    <row r="179" spans="42:62" x14ac:dyDescent="0.25">
      <c r="AP179" s="1">
        <v>174</v>
      </c>
      <c r="AQ179" s="7">
        <f t="shared" si="31"/>
        <v>-55221.27345518682</v>
      </c>
      <c r="AR179" s="7">
        <f t="shared" si="32"/>
        <v>14005.756031138055</v>
      </c>
      <c r="AS179" s="7"/>
      <c r="AT179" s="7">
        <f t="shared" si="33"/>
        <v>706.9873597124448</v>
      </c>
      <c r="AU179" s="7">
        <f t="shared" si="34"/>
        <v>1045.0256255729971</v>
      </c>
      <c r="AV179" s="7"/>
      <c r="AX179" s="7">
        <f t="shared" si="35"/>
        <v>89.152571610158475</v>
      </c>
      <c r="AY179" s="7">
        <f t="shared" si="36"/>
        <v>-7.7106495782711599</v>
      </c>
      <c r="BB179" s="7">
        <f t="shared" si="37"/>
        <v>134.08817363169882</v>
      </c>
      <c r="BC179" s="7">
        <f t="shared" si="38"/>
        <v>-15.250002556348946</v>
      </c>
      <c r="BF179" s="7">
        <f t="shared" si="39"/>
        <v>129.00651358554956</v>
      </c>
      <c r="BG179" s="7">
        <f t="shared" si="40"/>
        <v>-74.508892388583646</v>
      </c>
      <c r="BI179" s="10">
        <f t="shared" si="41"/>
        <v>352.24725882740688</v>
      </c>
      <c r="BJ179">
        <f t="shared" si="42"/>
        <v>-97.469544523203751</v>
      </c>
    </row>
    <row r="180" spans="42:62" x14ac:dyDescent="0.25">
      <c r="AP180" s="1">
        <v>175</v>
      </c>
      <c r="AQ180" s="7">
        <f t="shared" si="31"/>
        <v>-54823.748867977178</v>
      </c>
      <c r="AR180" s="7">
        <f t="shared" si="32"/>
        <v>14516.085150859153</v>
      </c>
      <c r="AS180" s="7"/>
      <c r="AT180" s="7">
        <f t="shared" si="33"/>
        <v>883.1109891261483</v>
      </c>
      <c r="AU180" s="7">
        <f t="shared" si="34"/>
        <v>996.29085331139527</v>
      </c>
      <c r="AV180" s="7"/>
      <c r="AX180" s="7">
        <f t="shared" si="35"/>
        <v>89.904923959316619</v>
      </c>
      <c r="AY180" s="7">
        <f t="shared" si="36"/>
        <v>-8.4302191686901988</v>
      </c>
      <c r="BB180" s="7">
        <f t="shared" si="37"/>
        <v>136.23580187322344</v>
      </c>
      <c r="BC180" s="7">
        <f t="shared" si="38"/>
        <v>-17.667611956070036</v>
      </c>
      <c r="BF180" s="7">
        <f t="shared" si="39"/>
        <v>128.53635598191249</v>
      </c>
      <c r="BG180" s="7">
        <f t="shared" si="40"/>
        <v>-76.146217704258092</v>
      </c>
      <c r="BI180" s="10">
        <f t="shared" si="41"/>
        <v>354.67708181445255</v>
      </c>
      <c r="BJ180">
        <f t="shared" si="42"/>
        <v>-102.24404882901833</v>
      </c>
    </row>
    <row r="181" spans="42:62" x14ac:dyDescent="0.25">
      <c r="AP181" s="1">
        <v>176</v>
      </c>
      <c r="AQ181" s="7">
        <f t="shared" si="31"/>
        <v>-54337.8587381873</v>
      </c>
      <c r="AR181" s="7">
        <f t="shared" si="32"/>
        <v>15001.450071411224</v>
      </c>
      <c r="AS181" s="7"/>
      <c r="AT181" s="7">
        <f t="shared" si="33"/>
        <v>1060.4495300333747</v>
      </c>
      <c r="AU181" s="7">
        <f t="shared" si="34"/>
        <v>945.16882889688611</v>
      </c>
      <c r="AV181" s="7"/>
      <c r="AX181" s="7">
        <f t="shared" si="35"/>
        <v>90.868263510488575</v>
      </c>
      <c r="AY181" s="7">
        <f t="shared" si="36"/>
        <v>-9.1695369407998371</v>
      </c>
      <c r="BB181" s="7">
        <f t="shared" si="37"/>
        <v>139.02271759245818</v>
      </c>
      <c r="BC181" s="7">
        <f t="shared" si="38"/>
        <v>-20.249229462212185</v>
      </c>
      <c r="BF181" s="7">
        <f t="shared" si="39"/>
        <v>128.35696188592644</v>
      </c>
      <c r="BG181" s="7">
        <f t="shared" si="40"/>
        <v>-78.051522336498948</v>
      </c>
      <c r="BI181" s="10">
        <f t="shared" si="41"/>
        <v>358.24794298887321</v>
      </c>
      <c r="BJ181">
        <f t="shared" si="42"/>
        <v>-107.47028873951098</v>
      </c>
    </row>
    <row r="182" spans="42:62" x14ac:dyDescent="0.25">
      <c r="AP182" s="1">
        <v>177</v>
      </c>
      <c r="AQ182" s="7">
        <f t="shared" si="31"/>
        <v>-53762.852980297001</v>
      </c>
      <c r="AR182" s="7">
        <f t="shared" si="32"/>
        <v>15460.600699767228</v>
      </c>
      <c r="AS182" s="7"/>
      <c r="AT182" s="7">
        <f t="shared" si="33"/>
        <v>1239.5735015278112</v>
      </c>
      <c r="AU182" s="7">
        <f t="shared" si="34"/>
        <v>891.43368452713059</v>
      </c>
      <c r="AV182" s="7"/>
      <c r="AX182" s="7">
        <f t="shared" si="35"/>
        <v>92.055728612129144</v>
      </c>
      <c r="AY182" s="7">
        <f t="shared" si="36"/>
        <v>-9.934796011795294</v>
      </c>
      <c r="BB182" s="7">
        <f t="shared" si="37"/>
        <v>142.51507031492855</v>
      </c>
      <c r="BC182" s="7">
        <f t="shared" si="38"/>
        <v>-23.049530001010858</v>
      </c>
      <c r="BF182" s="7">
        <f t="shared" si="39"/>
        <v>128.46506073087704</v>
      </c>
      <c r="BG182" s="7">
        <f t="shared" si="40"/>
        <v>-80.248030614117667</v>
      </c>
      <c r="BI182" s="10">
        <f t="shared" si="41"/>
        <v>363.03585965793474</v>
      </c>
      <c r="BJ182">
        <f t="shared" si="42"/>
        <v>-113.23235662692383</v>
      </c>
    </row>
    <row r="183" spans="42:62" x14ac:dyDescent="0.25">
      <c r="AP183" s="1">
        <v>178</v>
      </c>
      <c r="AQ183" s="7">
        <f t="shared" si="31"/>
        <v>-53097.686747075859</v>
      </c>
      <c r="AR183" s="7">
        <f t="shared" si="32"/>
        <v>15892.16349745243</v>
      </c>
      <c r="AS183" s="7"/>
      <c r="AT183" s="7">
        <f t="shared" si="33"/>
        <v>1421.0914313567787</v>
      </c>
      <c r="AU183" s="7">
        <f t="shared" si="34"/>
        <v>834.81750621366871</v>
      </c>
      <c r="AV183" s="7"/>
      <c r="AX183" s="7">
        <f t="shared" si="35"/>
        <v>93.484052695158553</v>
      </c>
      <c r="AY183" s="7">
        <f t="shared" si="36"/>
        <v>-10.732671436468035</v>
      </c>
      <c r="BB183" s="7">
        <f t="shared" si="37"/>
        <v>146.79906455373276</v>
      </c>
      <c r="BC183" s="7">
        <f t="shared" si="38"/>
        <v>-26.1336720065515</v>
      </c>
      <c r="BF183" s="7">
        <f t="shared" si="39"/>
        <v>128.86060206344203</v>
      </c>
      <c r="BG183" s="7">
        <f t="shared" si="40"/>
        <v>-82.76453726885363</v>
      </c>
      <c r="BI183" s="10">
        <f t="shared" si="41"/>
        <v>369.14371931233336</v>
      </c>
      <c r="BJ183">
        <f t="shared" si="42"/>
        <v>-119.63088071187316</v>
      </c>
    </row>
    <row r="184" spans="42:62" x14ac:dyDescent="0.25">
      <c r="AP184" s="1">
        <v>179</v>
      </c>
      <c r="AQ184" s="7">
        <f t="shared" si="31"/>
        <v>-52340.998066483429</v>
      </c>
      <c r="AR184" s="7">
        <f t="shared" si="32"/>
        <v>16294.618390470279</v>
      </c>
      <c r="AS184" s="7"/>
      <c r="AT184" s="7">
        <f t="shared" si="33"/>
        <v>1605.6632910129454</v>
      </c>
      <c r="AU184" s="7">
        <f t="shared" si="34"/>
        <v>775.00206585773208</v>
      </c>
      <c r="AV184" s="7"/>
      <c r="AX184" s="7">
        <f t="shared" si="35"/>
        <v>95.17418194415221</v>
      </c>
      <c r="AY184" s="7">
        <f t="shared" si="36"/>
        <v>-11.5704874579524</v>
      </c>
      <c r="BB184" s="7">
        <f t="shared" si="37"/>
        <v>151.98600308839451</v>
      </c>
      <c r="BC184" s="7">
        <f t="shared" si="38"/>
        <v>-29.581458437603068</v>
      </c>
      <c r="BF184" s="7">
        <f t="shared" si="39"/>
        <v>129.54666767640325</v>
      </c>
      <c r="BG184" s="7">
        <f t="shared" si="40"/>
        <v>-85.636418628029517</v>
      </c>
      <c r="BI184" s="10">
        <f t="shared" si="41"/>
        <v>376.70685270895001</v>
      </c>
      <c r="BJ184">
        <f t="shared" si="42"/>
        <v>-126.78836452358499</v>
      </c>
    </row>
    <row r="185" spans="42:62" x14ac:dyDescent="0.25">
      <c r="AP185" s="1">
        <v>180</v>
      </c>
      <c r="AQ185" s="7">
        <f t="shared" si="31"/>
        <v>-51491.078064388341</v>
      </c>
      <c r="AR185" s="7">
        <f t="shared" si="32"/>
        <v>16666.270877833696</v>
      </c>
      <c r="AS185" s="7"/>
      <c r="AT185" s="7">
        <f t="shared" si="33"/>
        <v>1794.0167173674204</v>
      </c>
      <c r="AU185" s="7">
        <f t="shared" si="34"/>
        <v>711.6078835959396</v>
      </c>
      <c r="AV185" s="7"/>
      <c r="AX185" s="7">
        <f t="shared" si="35"/>
        <v>97.152094034422049</v>
      </c>
      <c r="AY185" s="7">
        <f t="shared" si="36"/>
        <v>-12.456413224965441</v>
      </c>
      <c r="BB185" s="7">
        <f t="shared" si="37"/>
        <v>158.21924844532617</v>
      </c>
      <c r="BC185" s="7">
        <f t="shared" si="38"/>
        <v>-33.493053685467679</v>
      </c>
      <c r="BF185" s="7">
        <f t="shared" si="39"/>
        <v>130.52944064114129</v>
      </c>
      <c r="BG185" s="7">
        <f t="shared" si="40"/>
        <v>-88.906964453479063</v>
      </c>
      <c r="BI185" s="10">
        <f t="shared" si="41"/>
        <v>385.90078312088951</v>
      </c>
      <c r="BJ185">
        <f t="shared" si="42"/>
        <v>-134.85643136391218</v>
      </c>
    </row>
    <row r="186" spans="42:62" x14ac:dyDescent="0.25">
      <c r="AP186" s="1">
        <v>181</v>
      </c>
      <c r="AQ186" s="7">
        <f t="shared" si="31"/>
        <v>-50545.832107814516</v>
      </c>
      <c r="AR186" s="7">
        <f t="shared" si="32"/>
        <v>17005.217765711179</v>
      </c>
      <c r="AS186" s="7"/>
      <c r="AT186" s="7">
        <f t="shared" si="33"/>
        <v>1986.9671089278652</v>
      </c>
      <c r="AU186" s="7">
        <f t="shared" si="34"/>
        <v>644.17966791398351</v>
      </c>
      <c r="AV186" s="7"/>
      <c r="AX186" s="7">
        <f t="shared" si="35"/>
        <v>99.449882173537503</v>
      </c>
      <c r="AY186" s="7">
        <f t="shared" si="36"/>
        <v>-13.399697169764899</v>
      </c>
      <c r="BB186" s="7">
        <f t="shared" si="37"/>
        <v>165.68389509582838</v>
      </c>
      <c r="BC186" s="7">
        <f t="shared" si="38"/>
        <v>-37.9970583653079</v>
      </c>
      <c r="BF186" s="7">
        <f t="shared" si="39"/>
        <v>131.81821692573817</v>
      </c>
      <c r="BG186" s="7">
        <f t="shared" si="40"/>
        <v>-92.62912857117729</v>
      </c>
      <c r="BI186" s="10">
        <f t="shared" si="41"/>
        <v>396.95199419510402</v>
      </c>
      <c r="BJ186">
        <f t="shared" si="42"/>
        <v>-144.02588410625009</v>
      </c>
    </row>
    <row r="187" spans="42:62" x14ac:dyDescent="0.25">
      <c r="AP187" s="1">
        <v>182</v>
      </c>
      <c r="AQ187" s="7">
        <f t="shared" si="31"/>
        <v>-49502.729554076192</v>
      </c>
      <c r="AR187" s="7">
        <f t="shared" si="32"/>
        <v>17309.304364154887</v>
      </c>
      <c r="AS187" s="7"/>
      <c r="AT187" s="7">
        <f t="shared" si="33"/>
        <v>2185.4431060254174</v>
      </c>
      <c r="AU187" s="7">
        <f t="shared" si="34"/>
        <v>572.16672586085849</v>
      </c>
      <c r="AV187" s="7"/>
      <c r="AX187" s="7">
        <f t="shared" si="35"/>
        <v>102.10719641760964</v>
      </c>
      <c r="AY187" s="7">
        <f t="shared" si="36"/>
        <v>-14.410952977776063</v>
      </c>
      <c r="BB187" s="7">
        <f t="shared" si="37"/>
        <v>174.62034152237993</v>
      </c>
      <c r="BC187" s="7">
        <f t="shared" si="38"/>
        <v>-43.262208061809773</v>
      </c>
      <c r="BF187" s="7">
        <f t="shared" si="39"/>
        <v>133.42544062723988</v>
      </c>
      <c r="BG187" s="7">
        <f t="shared" si="40"/>
        <v>-96.86783741902228</v>
      </c>
      <c r="BI187" s="10">
        <f t="shared" si="41"/>
        <v>410.15297856722947</v>
      </c>
      <c r="BJ187">
        <f t="shared" si="42"/>
        <v>-154.5409984586081</v>
      </c>
    </row>
    <row r="188" spans="42:62" x14ac:dyDescent="0.25">
      <c r="AP188" s="1">
        <v>183</v>
      </c>
      <c r="AQ188" s="7">
        <f t="shared" si="31"/>
        <v>-48358.738878742581</v>
      </c>
      <c r="AR188" s="7">
        <f t="shared" si="32"/>
        <v>17576.07010227799</v>
      </c>
      <c r="AS188" s="7"/>
      <c r="AT188" s="7">
        <f t="shared" si="33"/>
        <v>2390.519595309032</v>
      </c>
      <c r="AU188" s="7">
        <f t="shared" si="34"/>
        <v>494.89622663155444</v>
      </c>
      <c r="AV188" s="7"/>
      <c r="AX188" s="7">
        <f t="shared" si="35"/>
        <v>105.17317551219946</v>
      </c>
      <c r="AY188" s="7">
        <f t="shared" si="36"/>
        <v>-15.502513749118503</v>
      </c>
      <c r="BB188" s="7">
        <f t="shared" si="37"/>
        <v>185.34356889794159</v>
      </c>
      <c r="BC188" s="7">
        <f t="shared" si="38"/>
        <v>-49.51475017916794</v>
      </c>
      <c r="BF188" s="7">
        <f t="shared" si="39"/>
        <v>135.36673416002361</v>
      </c>
      <c r="BG188" s="7">
        <f t="shared" si="40"/>
        <v>-101.70305538280546</v>
      </c>
      <c r="BI188" s="10">
        <f t="shared" si="41"/>
        <v>425.8834785701647</v>
      </c>
      <c r="BJ188">
        <f t="shared" si="42"/>
        <v>-166.72031931109188</v>
      </c>
    </row>
    <row r="189" spans="42:62" x14ac:dyDescent="0.25">
      <c r="AP189" s="1">
        <v>184</v>
      </c>
      <c r="AQ189" s="7">
        <f t="shared" si="31"/>
        <v>-47110.243646266797</v>
      </c>
      <c r="AR189" s="7">
        <f t="shared" si="32"/>
        <v>17802.678175679881</v>
      </c>
      <c r="AS189" s="7"/>
      <c r="AT189" s="7">
        <f t="shared" si="33"/>
        <v>2603.4613345941143</v>
      </c>
      <c r="AU189" s="7">
        <f t="shared" si="34"/>
        <v>411.5360669760085</v>
      </c>
      <c r="AV189" s="7"/>
      <c r="AX189" s="7">
        <f t="shared" si="35"/>
        <v>108.70906533109867</v>
      </c>
      <c r="AY189" s="7">
        <f t="shared" si="36"/>
        <v>-16.688875707092919</v>
      </c>
      <c r="BB189" s="7">
        <f t="shared" si="37"/>
        <v>198.27090488516106</v>
      </c>
      <c r="BC189" s="7">
        <f t="shared" si="38"/>
        <v>-57.064926549739162</v>
      </c>
      <c r="BF189" s="7">
        <f t="shared" si="39"/>
        <v>137.66087674279933</v>
      </c>
      <c r="BG189" s="7">
        <f t="shared" si="40"/>
        <v>-107.23389480023367</v>
      </c>
      <c r="BI189" s="10">
        <f t="shared" si="41"/>
        <v>444.64084695905905</v>
      </c>
      <c r="BJ189">
        <f t="shared" si="42"/>
        <v>-180.98769705706576</v>
      </c>
    </row>
    <row r="190" spans="42:62" x14ac:dyDescent="0.25">
      <c r="AP190" s="1">
        <v>185</v>
      </c>
      <c r="AQ190" s="7">
        <f t="shared" si="31"/>
        <v>-45752.932873099853</v>
      </c>
      <c r="AR190" s="7">
        <f t="shared" si="32"/>
        <v>17985.822747035752</v>
      </c>
      <c r="AS190" s="7"/>
      <c r="AT190" s="7">
        <f t="shared" si="33"/>
        <v>2825.7817580736437</v>
      </c>
      <c r="AU190" s="7">
        <f t="shared" si="34"/>
        <v>321.04221844747565</v>
      </c>
      <c r="AV190" s="7"/>
      <c r="AX190" s="7">
        <f t="shared" si="35"/>
        <v>112.79181782573765</v>
      </c>
      <c r="AY190" s="7">
        <f t="shared" si="36"/>
        <v>-17.987258626458814</v>
      </c>
      <c r="BB190" s="7">
        <f t="shared" si="37"/>
        <v>213.96258677014214</v>
      </c>
      <c r="BC190" s="7">
        <f t="shared" si="38"/>
        <v>-66.348454401805057</v>
      </c>
      <c r="BF190" s="7">
        <f t="shared" si="39"/>
        <v>140.32965228469186</v>
      </c>
      <c r="BG190" s="7">
        <f t="shared" si="40"/>
        <v>-113.58419407088707</v>
      </c>
      <c r="BI190" s="10">
        <f t="shared" si="41"/>
        <v>467.08405688057167</v>
      </c>
      <c r="BJ190">
        <f t="shared" si="42"/>
        <v>-197.91990709915092</v>
      </c>
    </row>
    <row r="191" spans="42:62" x14ac:dyDescent="0.25">
      <c r="AP191" s="1">
        <v>186</v>
      </c>
      <c r="AQ191" s="7">
        <f t="shared" si="31"/>
        <v>-44281.656486952961</v>
      </c>
      <c r="AR191" s="7">
        <f t="shared" si="32"/>
        <v>18121.603867872094</v>
      </c>
      <c r="AS191" s="7"/>
      <c r="AT191" s="7">
        <f t="shared" si="33"/>
        <v>3059.3237865139295</v>
      </c>
      <c r="AU191" s="7">
        <f t="shared" si="34"/>
        <v>222.08226489790019</v>
      </c>
      <c r="AV191" s="7"/>
      <c r="AX191" s="7">
        <f t="shared" si="35"/>
        <v>117.51912057496145</v>
      </c>
      <c r="AY191" s="7">
        <f t="shared" si="36"/>
        <v>-19.418316419728374</v>
      </c>
      <c r="BB191" s="7">
        <f t="shared" si="37"/>
        <v>233.18184466709513</v>
      </c>
      <c r="BC191" s="7">
        <f t="shared" si="38"/>
        <v>-77.993466903026714</v>
      </c>
      <c r="BF191" s="7">
        <f t="shared" si="39"/>
        <v>143.39743048119263</v>
      </c>
      <c r="BG191" s="7">
        <f t="shared" si="40"/>
        <v>-120.91019862276707</v>
      </c>
      <c r="BI191" s="10">
        <f t="shared" si="41"/>
        <v>494.09839572324921</v>
      </c>
      <c r="BJ191">
        <f t="shared" si="42"/>
        <v>-218.32198194552214</v>
      </c>
    </row>
    <row r="192" spans="42:62" x14ac:dyDescent="0.25">
      <c r="AP192" s="1">
        <v>187</v>
      </c>
      <c r="AQ192" s="7">
        <f t="shared" si="31"/>
        <v>-42690.232294230591</v>
      </c>
      <c r="AR192" s="7">
        <f t="shared" si="32"/>
        <v>18205.354752577856</v>
      </c>
      <c r="AS192" s="7"/>
      <c r="AT192" s="7">
        <f t="shared" si="33"/>
        <v>3306.3729843755541</v>
      </c>
      <c r="AU192" s="7">
        <f t="shared" si="34"/>
        <v>112.92127392513912</v>
      </c>
      <c r="AV192" s="7"/>
      <c r="AX192" s="7">
        <f t="shared" si="35"/>
        <v>123.01656309531398</v>
      </c>
      <c r="AY192" s="7">
        <f t="shared" si="36"/>
        <v>-21.007035708486463</v>
      </c>
      <c r="BB192" s="7">
        <f t="shared" si="37"/>
        <v>256.98485497924855</v>
      </c>
      <c r="BC192" s="7">
        <f t="shared" si="38"/>
        <v>-92.932142509650376</v>
      </c>
      <c r="BF192" s="7">
        <f t="shared" si="39"/>
        <v>146.8902425641005</v>
      </c>
      <c r="BG192" s="7">
        <f t="shared" si="40"/>
        <v>-129.41131739269741</v>
      </c>
      <c r="BI192" s="10">
        <f t="shared" si="41"/>
        <v>526.8916606386631</v>
      </c>
      <c r="BJ192">
        <f t="shared" si="42"/>
        <v>-243.35049561083423</v>
      </c>
    </row>
    <row r="193" spans="42:62" x14ac:dyDescent="0.25">
      <c r="AP193" s="1">
        <v>188</v>
      </c>
      <c r="AQ193" s="7">
        <f t="shared" si="31"/>
        <v>-40971.184344462978</v>
      </c>
      <c r="AR193" s="7">
        <f t="shared" si="32"/>
        <v>18231.396577589072</v>
      </c>
      <c r="AS193" s="7"/>
      <c r="AT193" s="7">
        <f t="shared" si="33"/>
        <v>3569.8188146948855</v>
      </c>
      <c r="AU193" s="7">
        <f t="shared" si="34"/>
        <v>-8.7539738802779965</v>
      </c>
      <c r="AV193" s="7"/>
      <c r="AX193" s="7">
        <f t="shared" si="35"/>
        <v>129.44807840863598</v>
      </c>
      <c r="AY193" s="7">
        <f t="shared" si="36"/>
        <v>-22.783855694219803</v>
      </c>
      <c r="BB193" s="7">
        <f t="shared" si="37"/>
        <v>286.85575041935755</v>
      </c>
      <c r="BC193" s="7">
        <f t="shared" si="38"/>
        <v>-112.59370970562655</v>
      </c>
      <c r="BF193" s="7">
        <f t="shared" si="39"/>
        <v>150.83392774039061</v>
      </c>
      <c r="BG193" s="7">
        <f t="shared" si="40"/>
        <v>-139.34548337627621</v>
      </c>
      <c r="BI193" s="10">
        <f t="shared" si="41"/>
        <v>567.13775656838413</v>
      </c>
      <c r="BJ193">
        <f t="shared" si="42"/>
        <v>-274.7230487761226</v>
      </c>
    </row>
    <row r="194" spans="42:62" x14ac:dyDescent="0.25">
      <c r="AP194" s="1">
        <v>189</v>
      </c>
      <c r="AQ194" s="7">
        <f t="shared" si="31"/>
        <v>-39115.382717544489</v>
      </c>
      <c r="AR194" s="7">
        <f t="shared" si="32"/>
        <v>18192.679209551916</v>
      </c>
      <c r="AS194" s="7"/>
      <c r="AT194" s="7">
        <f t="shared" si="33"/>
        <v>3853.3876929790777</v>
      </c>
      <c r="AU194" s="7">
        <f t="shared" si="34"/>
        <v>-146.11549826833931</v>
      </c>
      <c r="AV194" s="7"/>
      <c r="AX194" s="7">
        <f t="shared" si="35"/>
        <v>137.03155194330031</v>
      </c>
      <c r="AY194" s="7">
        <f t="shared" si="36"/>
        <v>-24.786009311953631</v>
      </c>
      <c r="BB194" s="7">
        <f t="shared" si="37"/>
        <v>324.90556834106343</v>
      </c>
      <c r="BC194" s="7">
        <f t="shared" si="38"/>
        <v>-139.25157210545316</v>
      </c>
      <c r="BF194" s="7">
        <f t="shared" si="39"/>
        <v>155.25058404051393</v>
      </c>
      <c r="BG194" s="7">
        <f t="shared" si="40"/>
        <v>-151.05159088548749</v>
      </c>
      <c r="BI194" s="10">
        <f t="shared" si="41"/>
        <v>617.1877043248777</v>
      </c>
      <c r="BJ194">
        <f t="shared" si="42"/>
        <v>-315.08917230289433</v>
      </c>
    </row>
    <row r="195" spans="42:62" x14ac:dyDescent="0.25">
      <c r="AP195" s="1">
        <v>190</v>
      </c>
      <c r="AQ195" s="7">
        <f t="shared" si="31"/>
        <v>-37111.540408014342</v>
      </c>
      <c r="AR195" s="7">
        <f t="shared" si="32"/>
        <v>18080.235313879886</v>
      </c>
      <c r="AS195" s="7"/>
      <c r="AT195" s="7">
        <f t="shared" si="33"/>
        <v>4161.9815451415161</v>
      </c>
      <c r="AU195" s="7">
        <f t="shared" si="34"/>
        <v>-303.66008441978647</v>
      </c>
      <c r="AV195" s="7"/>
      <c r="AX195" s="7">
        <f t="shared" si="35"/>
        <v>146.06284883612136</v>
      </c>
      <c r="AY195" s="7">
        <f t="shared" si="36"/>
        <v>-27.058967421669667</v>
      </c>
      <c r="BB195" s="7">
        <f t="shared" si="37"/>
        <v>374.14346882331597</v>
      </c>
      <c r="BC195" s="7">
        <f t="shared" si="38"/>
        <v>-176.67417410461471</v>
      </c>
      <c r="BF195" s="7">
        <f t="shared" si="39"/>
        <v>160.15191013372882</v>
      </c>
      <c r="BG195" s="7">
        <f t="shared" si="40"/>
        <v>-164.98314331469638</v>
      </c>
      <c r="BI195" s="10">
        <f t="shared" si="41"/>
        <v>680.35822779316618</v>
      </c>
      <c r="BJ195">
        <f t="shared" si="42"/>
        <v>-368.71628484098073</v>
      </c>
    </row>
    <row r="196" spans="42:62" x14ac:dyDescent="0.25">
      <c r="AP196" s="1">
        <v>191</v>
      </c>
      <c r="AQ196" s="7">
        <f t="shared" si="31"/>
        <v>-34945.504856969434</v>
      </c>
      <c r="AR196" s="7">
        <f t="shared" si="32"/>
        <v>17882.315736064869</v>
      </c>
      <c r="AS196" s="7"/>
      <c r="AT196" s="7">
        <f t="shared" si="33"/>
        <v>4502.1606590380989</v>
      </c>
      <c r="AU196" s="7">
        <f t="shared" si="34"/>
        <v>-488.01822684027684</v>
      </c>
      <c r="AV196" s="7"/>
      <c r="AX196" s="7">
        <f t="shared" si="35"/>
        <v>156.95404740546928</v>
      </c>
      <c r="AY196" s="7">
        <f t="shared" si="36"/>
        <v>-29.657503019743007</v>
      </c>
      <c r="BB196" s="7">
        <f t="shared" si="37"/>
        <v>438.74387237471944</v>
      </c>
      <c r="BC196" s="7">
        <f t="shared" si="38"/>
        <v>-231.39517616954868</v>
      </c>
      <c r="BF196" s="7">
        <f t="shared" si="39"/>
        <v>165.52676698176049</v>
      </c>
      <c r="BG196" s="7">
        <f t="shared" si="40"/>
        <v>-181.76028224141027</v>
      </c>
      <c r="BI196" s="10">
        <f t="shared" si="41"/>
        <v>761.22468676194921</v>
      </c>
      <c r="BJ196">
        <f t="shared" si="42"/>
        <v>-442.81296143070193</v>
      </c>
    </row>
    <row r="197" spans="42:62" x14ac:dyDescent="0.25">
      <c r="AP197" s="1">
        <v>192</v>
      </c>
      <c r="AQ197" s="7">
        <f t="shared" si="31"/>
        <v>-32599.271441605142</v>
      </c>
      <c r="AR197" s="7">
        <f t="shared" si="32"/>
        <v>17582.955002465893</v>
      </c>
      <c r="AS197" s="7"/>
      <c r="AT197" s="7">
        <f t="shared" si="33"/>
        <v>4882.7730024190732</v>
      </c>
      <c r="AU197" s="7">
        <f t="shared" si="34"/>
        <v>-709.42470755562783</v>
      </c>
      <c r="AV197" s="7"/>
      <c r="AX197" s="7">
        <f t="shared" si="35"/>
        <v>170.29654422162704</v>
      </c>
      <c r="AY197" s="7">
        <f t="shared" si="36"/>
        <v>-32.644794222452234</v>
      </c>
      <c r="BB197" s="7">
        <f t="shared" si="37"/>
        <v>523.80863401589681</v>
      </c>
      <c r="BC197" s="7">
        <f t="shared" si="38"/>
        <v>-315.25769724504306</v>
      </c>
      <c r="BF197" s="7">
        <f t="shared" si="39"/>
        <v>171.31776891943974</v>
      </c>
      <c r="BG197" s="7">
        <f t="shared" si="40"/>
        <v>-202.25313438564848</v>
      </c>
      <c r="BI197" s="10">
        <f t="shared" si="41"/>
        <v>865.42294715696357</v>
      </c>
      <c r="BJ197">
        <f t="shared" si="42"/>
        <v>-550.15562585314376</v>
      </c>
    </row>
    <row r="198" spans="42:62" x14ac:dyDescent="0.25">
      <c r="AP198" s="1">
        <v>193</v>
      </c>
      <c r="AQ198" s="7">
        <f t="shared" ref="AQ198:AQ261" si="43">AQ197+(AT197*$R$7)+((1/2)*(BI197)*$R$7^2)</f>
        <v>-30049.707072000983</v>
      </c>
      <c r="AR198" s="7">
        <f t="shared" ref="AR198:AR261" si="44">AR197+(AU197*$R$7)+((1/2)*(BJ197)*$R$7^2)</f>
        <v>17159.473195456438</v>
      </c>
      <c r="AS198" s="7"/>
      <c r="AT198" s="7">
        <f t="shared" ref="AT198:AT261" si="45">AT197+(BI197)*$R$7</f>
        <v>5315.4844759975549</v>
      </c>
      <c r="AU198" s="7">
        <f t="shared" ref="AU198:AU261" si="46">AU197+(BJ197)*$R$7</f>
        <v>-984.50252048219977</v>
      </c>
      <c r="AV198" s="7"/>
      <c r="AX198" s="7">
        <f t="shared" ref="AX198:AX261" si="47">(($R$23-AQ198)/(($R$23-AQ198)^2+($S$23-AR198)^2+$R$28^2)^(3/2))*$R$27</f>
        <v>186.9691607966212</v>
      </c>
      <c r="AY198" s="7">
        <f t="shared" ref="AY198:AY261" si="48">(($S$23-AR198)/(($R$23-AQ198)^2+($S$23-AR198)^2+$R$28^2)^(3/2))*$R$27</f>
        <v>-36.084598746878193</v>
      </c>
      <c r="BB198" s="7">
        <f t="shared" ref="BB198:BB261" si="49">(($R$32-AQ198)/(($R$32-AQ198)^2+($S$32-AR198)^2+$R$37^2)^(3/2))*$R$36</f>
        <v>632.160272803098</v>
      </c>
      <c r="BC198" s="7">
        <f t="shared" ref="BC198:BC261" si="50">(($S$32-AR198)/(($R$32-AQ198)^2+($S$32-AR198)^2+$R$37^2)^(3/2))*$R$36</f>
        <v>-450.35487063853861</v>
      </c>
      <c r="BF198" s="7">
        <f t="shared" ref="BF198:BF261" si="51">(($R$41-AQ198)/(($R$41-AQ198)^2+($S$41-AR198)^2+$R$46^2)^(3/2))*$R$45</f>
        <v>177.37651455416645</v>
      </c>
      <c r="BG198" s="7">
        <f t="shared" ref="BG198:BG261" si="52">(($S$41-AR198)/(($R$41-AQ198)^2+($S$41-AR198)^2+$R$46^2)^(3/2))*$R$45</f>
        <v>-227.72063756722164</v>
      </c>
      <c r="BI198" s="10">
        <f t="shared" ref="BI198:BI261" si="53">BF198+BB198+AX198</f>
        <v>996.50594815388558</v>
      </c>
      <c r="BJ198">
        <f t="shared" ref="BJ198:BJ261" si="54">BG198+BC198+AY198</f>
        <v>-714.16010695263844</v>
      </c>
    </row>
    <row r="199" spans="42:62" x14ac:dyDescent="0.25">
      <c r="AP199" s="1">
        <v>194</v>
      </c>
      <c r="AQ199" s="7">
        <f t="shared" si="43"/>
        <v>-27267.401590482972</v>
      </c>
      <c r="AR199" s="7">
        <f t="shared" si="44"/>
        <v>16577.951921846256</v>
      </c>
      <c r="AS199" s="7"/>
      <c r="AT199" s="7">
        <f t="shared" si="45"/>
        <v>5813.7374500744972</v>
      </c>
      <c r="AU199" s="7">
        <f t="shared" si="46"/>
        <v>-1341.5825739585189</v>
      </c>
      <c r="AV199" s="7"/>
      <c r="AX199" s="7">
        <f t="shared" si="47"/>
        <v>208.32853317666107</v>
      </c>
      <c r="AY199" s="7">
        <f t="shared" si="48"/>
        <v>-40.010585403265821</v>
      </c>
      <c r="BB199" s="7">
        <f t="shared" si="49"/>
        <v>746.86142430120492</v>
      </c>
      <c r="BC199" s="7">
        <f t="shared" si="50"/>
        <v>-676.00757714676524</v>
      </c>
      <c r="BF199" s="7">
        <f t="shared" si="51"/>
        <v>183.37611775040565</v>
      </c>
      <c r="BG199" s="7">
        <f t="shared" si="52"/>
        <v>-260.05019967897971</v>
      </c>
      <c r="BI199" s="10">
        <f t="shared" si="53"/>
        <v>1138.5660752282718</v>
      </c>
      <c r="BJ199">
        <f t="shared" si="54"/>
        <v>-976.06836222901075</v>
      </c>
    </row>
    <row r="200" spans="42:62" x14ac:dyDescent="0.25">
      <c r="AP200" s="1">
        <v>195</v>
      </c>
      <c r="AQ200" s="7">
        <f t="shared" si="43"/>
        <v>-24218.212106042189</v>
      </c>
      <c r="AR200" s="7">
        <f t="shared" si="44"/>
        <v>15785.15208958837</v>
      </c>
      <c r="AS200" s="7"/>
      <c r="AT200" s="7">
        <f t="shared" si="45"/>
        <v>6383.0204876886328</v>
      </c>
      <c r="AU200" s="7">
        <f t="shared" si="46"/>
        <v>-1829.6167550730243</v>
      </c>
      <c r="AV200" s="7"/>
      <c r="AX200" s="7">
        <f t="shared" si="47"/>
        <v>236.53779039360711</v>
      </c>
      <c r="AY200" s="7">
        <f t="shared" si="48"/>
        <v>-44.320009222589526</v>
      </c>
      <c r="BB200" s="7">
        <f t="shared" si="49"/>
        <v>754.60759414904624</v>
      </c>
      <c r="BC200" s="7">
        <f t="shared" si="50"/>
        <v>-1034.9218081891649</v>
      </c>
      <c r="BF200" s="7">
        <f t="shared" si="51"/>
        <v>188.6369757198315</v>
      </c>
      <c r="BG200" s="7">
        <f t="shared" si="52"/>
        <v>-302.17264515616506</v>
      </c>
      <c r="BI200" s="10">
        <f t="shared" si="53"/>
        <v>1179.7823602624849</v>
      </c>
      <c r="BJ200">
        <f t="shared" si="54"/>
        <v>-1381.4144625679196</v>
      </c>
    </row>
    <row r="201" spans="42:62" x14ac:dyDescent="0.25">
      <c r="AP201" s="1">
        <v>196</v>
      </c>
      <c r="AQ201" s="7">
        <f t="shared" si="43"/>
        <v>-20879.229067165063</v>
      </c>
      <c r="AR201" s="7">
        <f t="shared" si="44"/>
        <v>14697.666904230868</v>
      </c>
      <c r="AS201" s="7"/>
      <c r="AT201" s="7">
        <f t="shared" si="45"/>
        <v>6972.9116678198752</v>
      </c>
      <c r="AU201" s="7">
        <f t="shared" si="46"/>
        <v>-2520.3239863569843</v>
      </c>
      <c r="AV201" s="7"/>
      <c r="AX201" s="7">
        <f t="shared" si="47"/>
        <v>275.01140107208772</v>
      </c>
      <c r="AY201" s="7">
        <f t="shared" si="48"/>
        <v>-48.421668043946788</v>
      </c>
      <c r="BB201" s="7">
        <f t="shared" si="49"/>
        <v>259.31948799922594</v>
      </c>
      <c r="BC201" s="7">
        <f t="shared" si="50"/>
        <v>-1385.5280971589609</v>
      </c>
      <c r="BF201" s="7">
        <f t="shared" si="51"/>
        <v>191.77933248661139</v>
      </c>
      <c r="BG201" s="7">
        <f t="shared" si="52"/>
        <v>-358.66972579166486</v>
      </c>
      <c r="BI201" s="10">
        <f t="shared" si="53"/>
        <v>726.11022155792512</v>
      </c>
      <c r="BJ201">
        <f t="shared" si="54"/>
        <v>-1792.6194909945725</v>
      </c>
    </row>
    <row r="202" spans="42:62" x14ac:dyDescent="0.25">
      <c r="AP202" s="1">
        <v>197</v>
      </c>
      <c r="AQ202" s="7">
        <f t="shared" si="43"/>
        <v>-17302.009455560383</v>
      </c>
      <c r="AR202" s="7">
        <f t="shared" si="44"/>
        <v>13213.427474678054</v>
      </c>
      <c r="AS202" s="7"/>
      <c r="AT202" s="7">
        <f t="shared" si="45"/>
        <v>7335.9667785988377</v>
      </c>
      <c r="AU202" s="7">
        <f t="shared" si="46"/>
        <v>-3416.6337318542705</v>
      </c>
      <c r="AV202" s="7"/>
      <c r="AX202" s="7">
        <f t="shared" si="47"/>
        <v>328.25991460922234</v>
      </c>
      <c r="AY202" s="7">
        <f t="shared" si="48"/>
        <v>-50.278503553492477</v>
      </c>
      <c r="BB202" s="7">
        <f t="shared" si="49"/>
        <v>-891.39518649014315</v>
      </c>
      <c r="BC202" s="7">
        <f t="shared" si="50"/>
        <v>-1061.6915574321063</v>
      </c>
      <c r="BF202" s="7">
        <f t="shared" si="51"/>
        <v>190.04001449545842</v>
      </c>
      <c r="BG202" s="7">
        <f t="shared" si="52"/>
        <v>-435.83775363064433</v>
      </c>
      <c r="BI202" s="10">
        <f t="shared" si="53"/>
        <v>-373.09525738546239</v>
      </c>
      <c r="BJ202">
        <f t="shared" si="54"/>
        <v>-1547.8078146162431</v>
      </c>
    </row>
    <row r="203" spans="42:62" x14ac:dyDescent="0.25">
      <c r="AP203" s="1">
        <v>198</v>
      </c>
      <c r="AQ203" s="7">
        <f t="shared" si="43"/>
        <v>-13680.662973434146</v>
      </c>
      <c r="AR203" s="7">
        <f t="shared" si="44"/>
        <v>11311.634631923887</v>
      </c>
      <c r="AS203" s="7"/>
      <c r="AT203" s="7">
        <f t="shared" si="45"/>
        <v>7149.4191499061062</v>
      </c>
      <c r="AU203" s="7">
        <f t="shared" si="46"/>
        <v>-4190.5376391623922</v>
      </c>
      <c r="AV203" s="7"/>
      <c r="AX203" s="7">
        <f t="shared" si="47"/>
        <v>399.55779667935514</v>
      </c>
      <c r="AY203" s="7">
        <f t="shared" si="48"/>
        <v>-45.21788470967703</v>
      </c>
      <c r="BB203" s="7">
        <f t="shared" si="49"/>
        <v>-1314.8641562174671</v>
      </c>
      <c r="BC203" s="7">
        <f t="shared" si="50"/>
        <v>-272.91175582502979</v>
      </c>
      <c r="BF203" s="7">
        <f t="shared" si="51"/>
        <v>177.84028097043216</v>
      </c>
      <c r="BG203" s="7">
        <f t="shared" si="52"/>
        <v>-539.04506027395485</v>
      </c>
      <c r="BI203" s="10">
        <f t="shared" si="53"/>
        <v>-737.46607856767992</v>
      </c>
      <c r="BJ203">
        <f t="shared" si="54"/>
        <v>-857.17470080866167</v>
      </c>
    </row>
    <row r="204" spans="42:62" x14ac:dyDescent="0.25">
      <c r="AP204" s="1">
        <v>199</v>
      </c>
      <c r="AQ204" s="7">
        <f t="shared" si="43"/>
        <v>-10198.136658302054</v>
      </c>
      <c r="AR204" s="7">
        <f t="shared" si="44"/>
        <v>9109.2189747416069</v>
      </c>
      <c r="AS204" s="7"/>
      <c r="AT204" s="7">
        <f t="shared" si="45"/>
        <v>6780.6861106222659</v>
      </c>
      <c r="AU204" s="7">
        <f t="shared" si="46"/>
        <v>-4619.1249895667233</v>
      </c>
      <c r="AV204" s="7"/>
      <c r="AX204" s="7">
        <f t="shared" si="47"/>
        <v>489.31637245043305</v>
      </c>
      <c r="AY204" s="7">
        <f t="shared" si="48"/>
        <v>-26.075025757673426</v>
      </c>
      <c r="BB204" s="7">
        <f t="shared" si="49"/>
        <v>-999.19980496033156</v>
      </c>
      <c r="BC204" s="7">
        <f t="shared" si="50"/>
        <v>90.806022862421059</v>
      </c>
      <c r="BF204" s="7">
        <f t="shared" si="51"/>
        <v>144.39208476666812</v>
      </c>
      <c r="BG204" s="7">
        <f t="shared" si="52"/>
        <v>-669.69774338256138</v>
      </c>
      <c r="BI204" s="10">
        <f t="shared" si="53"/>
        <v>-365.49134774323045</v>
      </c>
      <c r="BJ204">
        <f t="shared" si="54"/>
        <v>-604.96674627781374</v>
      </c>
    </row>
    <row r="205" spans="42:62" x14ac:dyDescent="0.25">
      <c r="AP205" s="1">
        <v>200</v>
      </c>
      <c r="AQ205" s="7">
        <f t="shared" si="43"/>
        <v>-6853.480021458824</v>
      </c>
      <c r="AR205" s="7">
        <f t="shared" si="44"/>
        <v>6724.0356366735177</v>
      </c>
      <c r="AS205" s="7"/>
      <c r="AT205" s="7">
        <f t="shared" si="45"/>
        <v>6597.9404367506504</v>
      </c>
      <c r="AU205" s="7">
        <f t="shared" si="46"/>
        <v>-4921.6083627056305</v>
      </c>
      <c r="AV205" s="7"/>
      <c r="AX205" s="7">
        <f t="shared" si="47"/>
        <v>596.92551396655483</v>
      </c>
      <c r="AY205" s="7">
        <f t="shared" si="48"/>
        <v>17.248897574103982</v>
      </c>
      <c r="BB205" s="7">
        <f t="shared" si="49"/>
        <v>-665.72185154925035</v>
      </c>
      <c r="BC205" s="7">
        <f t="shared" si="50"/>
        <v>165.8903698562722</v>
      </c>
      <c r="BF205" s="7">
        <f t="shared" si="51"/>
        <v>70.318033276334489</v>
      </c>
      <c r="BG205" s="7">
        <f t="shared" si="52"/>
        <v>-824.17476482619907</v>
      </c>
      <c r="BI205" s="10">
        <f t="shared" si="53"/>
        <v>1.5216956936390034</v>
      </c>
      <c r="BJ205">
        <f t="shared" si="54"/>
        <v>-641.03549739582286</v>
      </c>
    </row>
    <row r="206" spans="42:62" x14ac:dyDescent="0.25">
      <c r="AP206" s="1">
        <v>201</v>
      </c>
      <c r="AQ206" s="7">
        <f t="shared" si="43"/>
        <v>-3554.319591121794</v>
      </c>
      <c r="AR206" s="7">
        <f t="shared" si="44"/>
        <v>4183.1020181462245</v>
      </c>
      <c r="AS206" s="7"/>
      <c r="AT206" s="7">
        <f t="shared" si="45"/>
        <v>6598.7012845974696</v>
      </c>
      <c r="AU206" s="7">
        <f t="shared" si="46"/>
        <v>-5242.1261114035424</v>
      </c>
      <c r="AV206" s="7"/>
      <c r="AX206" s="7">
        <f t="shared" si="47"/>
        <v>717.87013111213548</v>
      </c>
      <c r="AY206" s="7">
        <f t="shared" si="48"/>
        <v>101.08982260801298</v>
      </c>
      <c r="BB206" s="7">
        <f t="shared" si="49"/>
        <v>-444.76971291186754</v>
      </c>
      <c r="BC206" s="7">
        <f t="shared" si="50"/>
        <v>157.31669235345444</v>
      </c>
      <c r="BF206" s="7">
        <f t="shared" si="51"/>
        <v>-74.269640858683189</v>
      </c>
      <c r="BG206" s="7">
        <f t="shared" si="52"/>
        <v>-985.50280455742779</v>
      </c>
      <c r="BI206" s="10">
        <f t="shared" si="53"/>
        <v>198.83077734158474</v>
      </c>
      <c r="BJ206">
        <f t="shared" si="54"/>
        <v>-727.09628959596034</v>
      </c>
    </row>
    <row r="207" spans="42:62" x14ac:dyDescent="0.25">
      <c r="AP207" s="1">
        <v>202</v>
      </c>
      <c r="AQ207" s="7">
        <f t="shared" si="43"/>
        <v>-230.11510165536114</v>
      </c>
      <c r="AR207" s="7">
        <f t="shared" si="44"/>
        <v>1471.1519262449583</v>
      </c>
      <c r="AS207" s="7"/>
      <c r="AT207" s="7">
        <f t="shared" si="45"/>
        <v>6698.1166732682623</v>
      </c>
      <c r="AU207" s="7">
        <f t="shared" si="46"/>
        <v>-5605.6742562015224</v>
      </c>
      <c r="AV207" s="7"/>
      <c r="AX207" s="7">
        <f t="shared" si="47"/>
        <v>831.15109561298448</v>
      </c>
      <c r="AY207" s="7">
        <f t="shared" si="48"/>
        <v>247.69427443226516</v>
      </c>
      <c r="BB207" s="7">
        <f t="shared" si="49"/>
        <v>-305.94418250551269</v>
      </c>
      <c r="BC207" s="7">
        <f t="shared" si="50"/>
        <v>131.98617316467977</v>
      </c>
      <c r="BF207" s="7">
        <f t="shared" si="51"/>
        <v>-319.28495376376617</v>
      </c>
      <c r="BG207" s="7">
        <f t="shared" si="52"/>
        <v>-1102.5404371984307</v>
      </c>
      <c r="BI207" s="10">
        <f t="shared" si="53"/>
        <v>205.92195934370568</v>
      </c>
      <c r="BJ207">
        <f t="shared" si="54"/>
        <v>-722.85998960148584</v>
      </c>
    </row>
    <row r="208" spans="42:62" x14ac:dyDescent="0.25">
      <c r="AP208" s="1">
        <v>203</v>
      </c>
      <c r="AQ208" s="7">
        <f t="shared" si="43"/>
        <v>3144.6834798967329</v>
      </c>
      <c r="AR208" s="7">
        <f t="shared" si="44"/>
        <v>-1422.0427005559886</v>
      </c>
      <c r="AS208" s="7"/>
      <c r="AT208" s="7">
        <f t="shared" si="45"/>
        <v>6801.0776529401155</v>
      </c>
      <c r="AU208" s="7">
        <f t="shared" si="46"/>
        <v>-5967.1042510022653</v>
      </c>
      <c r="AV208" s="7"/>
      <c r="AX208" s="7">
        <f t="shared" si="47"/>
        <v>883.8397127718257</v>
      </c>
      <c r="AY208" s="7">
        <f t="shared" si="48"/>
        <v>467.84381939029026</v>
      </c>
      <c r="BB208" s="7">
        <f t="shared" si="49"/>
        <v>-217.34912673945385</v>
      </c>
      <c r="BC208" s="7">
        <f t="shared" si="50"/>
        <v>107.26312194776553</v>
      </c>
      <c r="BF208" s="7">
        <f t="shared" si="51"/>
        <v>-649.34446242728052</v>
      </c>
      <c r="BG208" s="7">
        <f t="shared" si="52"/>
        <v>-1082.5186031145595</v>
      </c>
      <c r="BI208" s="10">
        <f t="shared" si="53"/>
        <v>17.146123605091361</v>
      </c>
      <c r="BJ208">
        <f t="shared" si="54"/>
        <v>-507.41166177650371</v>
      </c>
    </row>
    <row r="209" spans="42:62" x14ac:dyDescent="0.25">
      <c r="AP209" s="1">
        <v>204</v>
      </c>
      <c r="AQ209" s="7">
        <f t="shared" si="43"/>
        <v>6547.3655718174268</v>
      </c>
      <c r="AR209" s="7">
        <f t="shared" si="44"/>
        <v>-4469.0212837791842</v>
      </c>
      <c r="AS209" s="7"/>
      <c r="AT209" s="7">
        <f t="shared" si="45"/>
        <v>6809.650714742661</v>
      </c>
      <c r="AU209" s="7">
        <f t="shared" si="46"/>
        <v>-6220.8100818905168</v>
      </c>
      <c r="AV209" s="7"/>
      <c r="AX209" s="7">
        <f t="shared" si="47"/>
        <v>806.12539360849098</v>
      </c>
      <c r="AY209" s="7">
        <f t="shared" si="48"/>
        <v>717.22249236786854</v>
      </c>
      <c r="BB209" s="7">
        <f t="shared" si="49"/>
        <v>-159.51327072870635</v>
      </c>
      <c r="BC209" s="7">
        <f t="shared" si="50"/>
        <v>86.938980931088977</v>
      </c>
      <c r="BF209" s="7">
        <f t="shared" si="51"/>
        <v>-946.63716216729927</v>
      </c>
      <c r="BG209" s="7">
        <f t="shared" si="52"/>
        <v>-863.31516437809364</v>
      </c>
      <c r="BI209" s="10">
        <f t="shared" si="53"/>
        <v>-300.02503928751469</v>
      </c>
      <c r="BJ209">
        <f t="shared" si="54"/>
        <v>-59.153691079136138</v>
      </c>
    </row>
    <row r="210" spans="42:62" x14ac:dyDescent="0.25">
      <c r="AP210" s="1">
        <v>205</v>
      </c>
      <c r="AQ210" s="7">
        <f t="shared" si="43"/>
        <v>9914.6877992778172</v>
      </c>
      <c r="AR210" s="7">
        <f t="shared" si="44"/>
        <v>-7586.8205361093342</v>
      </c>
      <c r="AS210" s="7"/>
      <c r="AT210" s="7">
        <f t="shared" si="45"/>
        <v>6659.6381950989035</v>
      </c>
      <c r="AU210" s="7">
        <f t="shared" si="46"/>
        <v>-6250.3869274300851</v>
      </c>
      <c r="AV210" s="7"/>
      <c r="AX210" s="7">
        <f t="shared" si="47"/>
        <v>593.61883919589366</v>
      </c>
      <c r="AY210" s="7">
        <f t="shared" si="48"/>
        <v>888.00631210610322</v>
      </c>
      <c r="BB210" s="7">
        <f t="shared" si="49"/>
        <v>-121.10289849379861</v>
      </c>
      <c r="BC210" s="7">
        <f t="shared" si="50"/>
        <v>71.196295161219055</v>
      </c>
      <c r="BF210" s="7">
        <f t="shared" si="51"/>
        <v>-1065.1346725566279</v>
      </c>
      <c r="BG210" s="7">
        <f t="shared" si="52"/>
        <v>-529.41332645642353</v>
      </c>
      <c r="BI210" s="10">
        <f t="shared" si="53"/>
        <v>-592.61873185453294</v>
      </c>
      <c r="BJ210">
        <f t="shared" si="54"/>
        <v>429.78928081089873</v>
      </c>
    </row>
    <row r="211" spans="42:62" x14ac:dyDescent="0.25">
      <c r="AP211" s="1">
        <v>206</v>
      </c>
      <c r="AQ211" s="7">
        <f t="shared" si="43"/>
        <v>13170.429555345452</v>
      </c>
      <c r="AR211" s="7">
        <f t="shared" si="44"/>
        <v>-10658.290339723013</v>
      </c>
      <c r="AS211" s="7"/>
      <c r="AT211" s="7">
        <f t="shared" si="45"/>
        <v>6363.3288291716372</v>
      </c>
      <c r="AU211" s="7">
        <f t="shared" si="46"/>
        <v>-6035.4922870246355</v>
      </c>
      <c r="AV211" s="7"/>
      <c r="AX211" s="7">
        <f t="shared" si="47"/>
        <v>343.93798062495608</v>
      </c>
      <c r="AY211" s="7">
        <f t="shared" si="48"/>
        <v>914.45366317791593</v>
      </c>
      <c r="BB211" s="7">
        <f t="shared" si="49"/>
        <v>-95.212070679190944</v>
      </c>
      <c r="BC211" s="7">
        <f t="shared" si="50"/>
        <v>59.297350872563051</v>
      </c>
      <c r="BF211" s="7">
        <f t="shared" si="51"/>
        <v>-999.93693550707439</v>
      </c>
      <c r="BG211" s="7">
        <f t="shared" si="52"/>
        <v>-238.92863068180191</v>
      </c>
      <c r="BI211" s="10">
        <f t="shared" si="53"/>
        <v>-751.21102556130927</v>
      </c>
      <c r="BJ211">
        <f t="shared" si="54"/>
        <v>734.82238336867704</v>
      </c>
    </row>
    <row r="212" spans="42:62" x14ac:dyDescent="0.25">
      <c r="AP212" s="1">
        <v>207</v>
      </c>
      <c r="AQ212" s="7">
        <f t="shared" si="43"/>
        <v>16258.192591736108</v>
      </c>
      <c r="AR212" s="7">
        <f t="shared" si="44"/>
        <v>-13584.183685314245</v>
      </c>
      <c r="AS212" s="7"/>
      <c r="AT212" s="7">
        <f t="shared" si="45"/>
        <v>5987.7233163909823</v>
      </c>
      <c r="AU212" s="7">
        <f t="shared" si="46"/>
        <v>-5668.081095340297</v>
      </c>
      <c r="AV212" s="7"/>
      <c r="AX212" s="7">
        <f t="shared" si="47"/>
        <v>148.42055618020467</v>
      </c>
      <c r="AY212" s="7">
        <f t="shared" si="48"/>
        <v>836.31409309541925</v>
      </c>
      <c r="BB212" s="7">
        <f t="shared" si="49"/>
        <v>-77.408931968752185</v>
      </c>
      <c r="BC212" s="7">
        <f t="shared" si="50"/>
        <v>50.350730136811571</v>
      </c>
      <c r="BF212" s="7">
        <f t="shared" si="51"/>
        <v>-853.80743391304179</v>
      </c>
      <c r="BG212" s="7">
        <f t="shared" si="52"/>
        <v>-56.864406008062296</v>
      </c>
      <c r="BI212" s="10">
        <f t="shared" si="53"/>
        <v>-782.79580970158929</v>
      </c>
      <c r="BJ212">
        <f t="shared" si="54"/>
        <v>829.80041722416854</v>
      </c>
    </row>
    <row r="213" spans="42:62" x14ac:dyDescent="0.25">
      <c r="AP213" s="1">
        <v>208</v>
      </c>
      <c r="AQ213" s="7">
        <f t="shared" si="43"/>
        <v>19154.204773718902</v>
      </c>
      <c r="AR213" s="7">
        <f t="shared" si="44"/>
        <v>-16314.499180831373</v>
      </c>
      <c r="AS213" s="7"/>
      <c r="AT213" s="7">
        <f t="shared" si="45"/>
        <v>5596.3254115401878</v>
      </c>
      <c r="AU213" s="7">
        <f t="shared" si="46"/>
        <v>-5253.1808867282125</v>
      </c>
      <c r="AV213" s="7"/>
      <c r="AX213" s="7">
        <f t="shared" si="47"/>
        <v>25.659583991374838</v>
      </c>
      <c r="AY213" s="7">
        <f t="shared" si="48"/>
        <v>722.48000811012184</v>
      </c>
      <c r="BB213" s="7">
        <f t="shared" si="49"/>
        <v>-64.82475970905061</v>
      </c>
      <c r="BC213" s="7">
        <f t="shared" si="50"/>
        <v>43.566996089431285</v>
      </c>
      <c r="BF213" s="7">
        <f t="shared" si="51"/>
        <v>-705.195495764415</v>
      </c>
      <c r="BG213" s="7">
        <f t="shared" si="52"/>
        <v>38.377537583721306</v>
      </c>
      <c r="BI213" s="10">
        <f t="shared" si="53"/>
        <v>-744.36067148209077</v>
      </c>
      <c r="BJ213">
        <f t="shared" si="54"/>
        <v>804.42454178327444</v>
      </c>
    </row>
    <row r="214" spans="42:62" x14ac:dyDescent="0.25">
      <c r="AP214" s="1">
        <v>209</v>
      </c>
      <c r="AQ214" s="7">
        <f t="shared" si="43"/>
        <v>21859.322395553736</v>
      </c>
      <c r="AR214" s="7">
        <f t="shared" si="44"/>
        <v>-18840.536556472569</v>
      </c>
      <c r="AS214" s="7"/>
      <c r="AT214" s="7">
        <f t="shared" si="45"/>
        <v>5224.1450757991424</v>
      </c>
      <c r="AU214" s="7">
        <f t="shared" si="46"/>
        <v>-4850.9686158365748</v>
      </c>
      <c r="AV214" s="7"/>
      <c r="AX214" s="7">
        <f t="shared" si="47"/>
        <v>-43.245034223572588</v>
      </c>
      <c r="AY214" s="7">
        <f t="shared" si="48"/>
        <v>612.64114689087023</v>
      </c>
      <c r="BB214" s="7">
        <f t="shared" si="49"/>
        <v>-55.643410286477653</v>
      </c>
      <c r="BC214" s="7">
        <f t="shared" si="50"/>
        <v>38.337596421876611</v>
      </c>
      <c r="BF214" s="7">
        <f t="shared" si="51"/>
        <v>-581.63365241604492</v>
      </c>
      <c r="BG214" s="7">
        <f t="shared" si="52"/>
        <v>83.166107904057114</v>
      </c>
      <c r="BI214" s="10">
        <f t="shared" si="53"/>
        <v>-680.52209692609517</v>
      </c>
      <c r="BJ214">
        <f t="shared" si="54"/>
        <v>734.144851216804</v>
      </c>
    </row>
    <row r="215" spans="42:62" x14ac:dyDescent="0.25">
      <c r="AP215" s="1">
        <v>210</v>
      </c>
      <c r="AQ215" s="7">
        <f t="shared" si="43"/>
        <v>24386.329671337546</v>
      </c>
      <c r="AR215" s="7">
        <f t="shared" si="44"/>
        <v>-21174.252757988754</v>
      </c>
      <c r="AS215" s="7"/>
      <c r="AT215" s="7">
        <f t="shared" si="45"/>
        <v>4883.8840273360947</v>
      </c>
      <c r="AU215" s="7">
        <f t="shared" si="46"/>
        <v>-4483.8961902281726</v>
      </c>
      <c r="AV215" s="7"/>
      <c r="AX215" s="7">
        <f t="shared" si="47"/>
        <v>-79.506413345610895</v>
      </c>
      <c r="AY215" s="7">
        <f t="shared" si="48"/>
        <v>519.74820931733336</v>
      </c>
      <c r="BB215" s="7">
        <f t="shared" si="49"/>
        <v>-48.732831833001605</v>
      </c>
      <c r="BC215" s="7">
        <f t="shared" si="50"/>
        <v>34.226970971100172</v>
      </c>
      <c r="BF215" s="7">
        <f t="shared" si="51"/>
        <v>-485.34651559375567</v>
      </c>
      <c r="BG215" s="7">
        <f t="shared" si="52"/>
        <v>101.97435664814626</v>
      </c>
      <c r="BI215" s="10">
        <f t="shared" si="53"/>
        <v>-613.58576077236819</v>
      </c>
      <c r="BJ215">
        <f t="shared" si="54"/>
        <v>655.94953693657976</v>
      </c>
    </row>
    <row r="216" spans="42:62" x14ac:dyDescent="0.25">
      <c r="AP216" s="1">
        <v>211</v>
      </c>
      <c r="AQ216" s="7">
        <f t="shared" si="43"/>
        <v>26751.573464909048</v>
      </c>
      <c r="AR216" s="7">
        <f t="shared" si="44"/>
        <v>-23334.207160985767</v>
      </c>
      <c r="AS216" s="7"/>
      <c r="AT216" s="7">
        <f t="shared" si="45"/>
        <v>4577.0911469499106</v>
      </c>
      <c r="AU216" s="7">
        <f t="shared" si="46"/>
        <v>-4155.9214217598828</v>
      </c>
      <c r="AV216" s="7"/>
      <c r="AX216" s="7">
        <f t="shared" si="47"/>
        <v>-97.384634633679696</v>
      </c>
      <c r="AY216" s="7">
        <f t="shared" si="48"/>
        <v>444.75232539475002</v>
      </c>
      <c r="BB216" s="7">
        <f t="shared" si="49"/>
        <v>-43.383404475979503</v>
      </c>
      <c r="BC216" s="7">
        <f t="shared" si="50"/>
        <v>30.932678516940083</v>
      </c>
      <c r="BF216" s="7">
        <f t="shared" si="51"/>
        <v>-411.39151090103366</v>
      </c>
      <c r="BG216" s="7">
        <f t="shared" si="52"/>
        <v>107.98274548218424</v>
      </c>
      <c r="BI216" s="10">
        <f t="shared" si="53"/>
        <v>-552.15955001069278</v>
      </c>
      <c r="BJ216">
        <f t="shared" si="54"/>
        <v>583.66774939387437</v>
      </c>
    </row>
    <row r="217" spans="42:62" x14ac:dyDescent="0.25">
      <c r="AP217" s="1">
        <v>212</v>
      </c>
      <c r="AQ217" s="7">
        <f t="shared" si="43"/>
        <v>28971.099094632667</v>
      </c>
      <c r="AR217" s="7">
        <f t="shared" si="44"/>
        <v>-25339.209403191475</v>
      </c>
      <c r="AS217" s="7"/>
      <c r="AT217" s="7">
        <f t="shared" si="45"/>
        <v>4301.0113719445644</v>
      </c>
      <c r="AU217" s="7">
        <f t="shared" si="46"/>
        <v>-3864.0875470629458</v>
      </c>
      <c r="AV217" s="7"/>
      <c r="AX217" s="7">
        <f t="shared" si="47"/>
        <v>-105.16237337859599</v>
      </c>
      <c r="AY217" s="7">
        <f t="shared" si="48"/>
        <v>384.95274261126951</v>
      </c>
      <c r="BB217" s="7">
        <f t="shared" si="49"/>
        <v>-39.140797254558798</v>
      </c>
      <c r="BC217" s="7">
        <f t="shared" si="50"/>
        <v>28.245329509835681</v>
      </c>
      <c r="BF217" s="7">
        <f t="shared" si="51"/>
        <v>-354.28456298334368</v>
      </c>
      <c r="BG217" s="7">
        <f t="shared" si="52"/>
        <v>107.8276058952039</v>
      </c>
      <c r="BI217" s="10">
        <f t="shared" si="53"/>
        <v>-498.58773361649844</v>
      </c>
      <c r="BJ217">
        <f t="shared" si="54"/>
        <v>521.02567801630903</v>
      </c>
    </row>
    <row r="218" spans="42:62" x14ac:dyDescent="0.25">
      <c r="AP218" s="1">
        <v>213</v>
      </c>
      <c r="AQ218" s="7">
        <f t="shared" si="43"/>
        <v>31059.281313902888</v>
      </c>
      <c r="AR218" s="7">
        <f t="shared" si="44"/>
        <v>-27206.12496697091</v>
      </c>
      <c r="AS218" s="7"/>
      <c r="AT218" s="7">
        <f t="shared" si="45"/>
        <v>4051.7175051363151</v>
      </c>
      <c r="AU218" s="7">
        <f t="shared" si="46"/>
        <v>-3603.5747080547912</v>
      </c>
      <c r="AV218" s="7"/>
      <c r="AX218" s="7">
        <f t="shared" si="47"/>
        <v>-107.44110361271946</v>
      </c>
      <c r="AY218" s="7">
        <f t="shared" si="48"/>
        <v>337.17058665328153</v>
      </c>
      <c r="BB218" s="7">
        <f t="shared" si="49"/>
        <v>-35.705869388437755</v>
      </c>
      <c r="BC218" s="7">
        <f t="shared" si="50"/>
        <v>26.018326234427953</v>
      </c>
      <c r="BF218" s="7">
        <f t="shared" si="51"/>
        <v>-309.61978087157689</v>
      </c>
      <c r="BG218" s="7">
        <f t="shared" si="52"/>
        <v>104.80679591657587</v>
      </c>
      <c r="BI218" s="10">
        <f t="shared" si="53"/>
        <v>-452.76675387273411</v>
      </c>
      <c r="BJ218">
        <f t="shared" si="54"/>
        <v>467.99570880428536</v>
      </c>
    </row>
    <row r="219" spans="42:62" x14ac:dyDescent="0.25">
      <c r="AP219" s="1">
        <v>214</v>
      </c>
      <c r="AQ219" s="7">
        <f t="shared" si="43"/>
        <v>33028.544222236953</v>
      </c>
      <c r="AR219" s="7">
        <f t="shared" si="44"/>
        <v>-28949.412857397769</v>
      </c>
      <c r="AS219" s="7"/>
      <c r="AT219" s="7">
        <f t="shared" si="45"/>
        <v>3825.3341281999483</v>
      </c>
      <c r="AU219" s="7">
        <f t="shared" si="46"/>
        <v>-3369.5768536526484</v>
      </c>
      <c r="AV219" s="7"/>
      <c r="AX219" s="7">
        <f t="shared" si="47"/>
        <v>-106.75936438913024</v>
      </c>
      <c r="AY219" s="7">
        <f t="shared" si="48"/>
        <v>298.67620531011653</v>
      </c>
      <c r="BB219" s="7">
        <f t="shared" si="49"/>
        <v>-32.875806960922773</v>
      </c>
      <c r="BC219" s="7">
        <f t="shared" si="50"/>
        <v>24.147247432904848</v>
      </c>
      <c r="BF219" s="7">
        <f t="shared" si="51"/>
        <v>-274.15827653420445</v>
      </c>
      <c r="BG219" s="7">
        <f t="shared" si="52"/>
        <v>100.56516929228076</v>
      </c>
      <c r="BI219" s="10">
        <f t="shared" si="53"/>
        <v>-413.79344788425749</v>
      </c>
      <c r="BJ219">
        <f t="shared" si="54"/>
        <v>423.38862203530215</v>
      </c>
    </row>
    <row r="220" spans="42:62" x14ac:dyDescent="0.25">
      <c r="AP220" s="1">
        <v>215</v>
      </c>
      <c r="AQ220" s="7">
        <f t="shared" si="43"/>
        <v>34889.487105351393</v>
      </c>
      <c r="AR220" s="7">
        <f t="shared" si="44"/>
        <v>-30581.277706469682</v>
      </c>
      <c r="AS220" s="7"/>
      <c r="AT220" s="7">
        <f t="shared" si="45"/>
        <v>3618.4374042578197</v>
      </c>
      <c r="AU220" s="7">
        <f t="shared" si="46"/>
        <v>-3157.8825426349972</v>
      </c>
      <c r="AV220" s="7"/>
      <c r="AX220" s="7">
        <f t="shared" si="47"/>
        <v>-104.52657094231922</v>
      </c>
      <c r="AY220" s="7">
        <f t="shared" si="48"/>
        <v>267.33663474068487</v>
      </c>
      <c r="BB220" s="7">
        <f t="shared" si="49"/>
        <v>-30.509209178117231</v>
      </c>
      <c r="BC220" s="7">
        <f t="shared" si="50"/>
        <v>22.556280911964315</v>
      </c>
      <c r="BF220" s="7">
        <f t="shared" si="51"/>
        <v>-245.57835670551265</v>
      </c>
      <c r="BG220" s="7">
        <f t="shared" si="52"/>
        <v>95.925639866493228</v>
      </c>
      <c r="BI220" s="10">
        <f t="shared" si="53"/>
        <v>-380.61413682594906</v>
      </c>
      <c r="BJ220">
        <f t="shared" si="54"/>
        <v>385.81855551914242</v>
      </c>
    </row>
    <row r="221" spans="42:62" x14ac:dyDescent="0.25">
      <c r="AP221" s="1">
        <v>216</v>
      </c>
      <c r="AQ221" s="7">
        <f t="shared" si="43"/>
        <v>36651.129040377054</v>
      </c>
      <c r="AR221" s="7">
        <f t="shared" si="44"/>
        <v>-32111.991658347288</v>
      </c>
      <c r="AS221" s="7"/>
      <c r="AT221" s="7">
        <f t="shared" si="45"/>
        <v>3428.1303358448454</v>
      </c>
      <c r="AU221" s="7">
        <f t="shared" si="46"/>
        <v>-2964.9732648754261</v>
      </c>
      <c r="AV221" s="7"/>
      <c r="AX221" s="7">
        <f t="shared" si="47"/>
        <v>-101.53229709150622</v>
      </c>
      <c r="AY221" s="7">
        <f t="shared" si="48"/>
        <v>241.53896685858064</v>
      </c>
      <c r="BB221" s="7">
        <f t="shared" si="49"/>
        <v>-28.504938328737914</v>
      </c>
      <c r="BC221" s="7">
        <f t="shared" si="50"/>
        <v>21.189334536756576</v>
      </c>
      <c r="BF221" s="7">
        <f t="shared" si="51"/>
        <v>-222.2179607944764</v>
      </c>
      <c r="BG221" s="7">
        <f t="shared" si="52"/>
        <v>91.296250043156121</v>
      </c>
      <c r="BI221" s="10">
        <f t="shared" si="53"/>
        <v>-352.25519621472051</v>
      </c>
      <c r="BJ221">
        <f t="shared" si="54"/>
        <v>354.02455143849335</v>
      </c>
    </row>
    <row r="222" spans="42:62" x14ac:dyDescent="0.25">
      <c r="AP222" s="1">
        <v>217</v>
      </c>
      <c r="AQ222" s="7">
        <f t="shared" si="43"/>
        <v>38321.16230877264</v>
      </c>
      <c r="AR222" s="7">
        <f t="shared" si="44"/>
        <v>-33550.225221855188</v>
      </c>
      <c r="AS222" s="7"/>
      <c r="AT222" s="7">
        <f t="shared" si="45"/>
        <v>3252.0027377374849</v>
      </c>
      <c r="AU222" s="7">
        <f t="shared" si="46"/>
        <v>-2787.9609891561795</v>
      </c>
      <c r="AV222" s="7"/>
      <c r="AX222" s="7">
        <f t="shared" si="47"/>
        <v>-98.221458605314055</v>
      </c>
      <c r="AY222" s="7">
        <f t="shared" si="48"/>
        <v>220.07408315118946</v>
      </c>
      <c r="BB222" s="7">
        <f t="shared" si="49"/>
        <v>-26.788972878979191</v>
      </c>
      <c r="BC222" s="7">
        <f t="shared" si="50"/>
        <v>20.004158973461077</v>
      </c>
      <c r="BF222" s="7">
        <f t="shared" si="51"/>
        <v>-202.87690768172359</v>
      </c>
      <c r="BG222" s="7">
        <f t="shared" si="52"/>
        <v>86.872376668605568</v>
      </c>
      <c r="BI222" s="10">
        <f t="shared" si="53"/>
        <v>-327.88733916601683</v>
      </c>
      <c r="BJ222">
        <f t="shared" si="54"/>
        <v>326.95061879325613</v>
      </c>
    </row>
    <row r="223" spans="42:62" x14ac:dyDescent="0.25">
      <c r="AP223" s="1">
        <v>218</v>
      </c>
      <c r="AQ223" s="7">
        <f t="shared" si="43"/>
        <v>39906.177760245628</v>
      </c>
      <c r="AR223" s="7">
        <f t="shared" si="44"/>
        <v>-34903.336889084123</v>
      </c>
      <c r="AS223" s="7"/>
      <c r="AT223" s="7">
        <f t="shared" si="45"/>
        <v>3088.0590681544763</v>
      </c>
      <c r="AU223" s="7">
        <f t="shared" si="46"/>
        <v>-2624.4856797595512</v>
      </c>
      <c r="AV223" s="7"/>
      <c r="AX223" s="7">
        <f t="shared" si="47"/>
        <v>-94.844359298977167</v>
      </c>
      <c r="AY223" s="7">
        <f t="shared" si="48"/>
        <v>202.03362834504509</v>
      </c>
      <c r="BB223" s="7">
        <f t="shared" si="49"/>
        <v>-25.306014774378095</v>
      </c>
      <c r="BC223" s="7">
        <f t="shared" si="50"/>
        <v>18.968402746070655</v>
      </c>
      <c r="BF223" s="7">
        <f t="shared" si="51"/>
        <v>-186.67741491470278</v>
      </c>
      <c r="BG223" s="7">
        <f t="shared" si="52"/>
        <v>82.73925023117674</v>
      </c>
      <c r="BI223" s="10">
        <f t="shared" si="53"/>
        <v>-306.82778898805805</v>
      </c>
      <c r="BJ223">
        <f t="shared" si="54"/>
        <v>303.74128132229248</v>
      </c>
    </row>
    <row r="224" spans="42:62" x14ac:dyDescent="0.25">
      <c r="AP224" s="1">
        <v>219</v>
      </c>
      <c r="AQ224" s="7">
        <f t="shared" si="43"/>
        <v>41411.853820699354</v>
      </c>
      <c r="AR224" s="7">
        <f t="shared" si="44"/>
        <v>-36177.612068798611</v>
      </c>
      <c r="AS224" s="7"/>
      <c r="AT224" s="7">
        <f t="shared" si="45"/>
        <v>2934.6451736604472</v>
      </c>
      <c r="AU224" s="7">
        <f t="shared" si="46"/>
        <v>-2472.6150390984048</v>
      </c>
      <c r="AV224" s="7"/>
      <c r="AX224" s="7">
        <f t="shared" si="47"/>
        <v>-91.539832588519644</v>
      </c>
      <c r="AY224" s="7">
        <f t="shared" si="48"/>
        <v>186.73027240541566</v>
      </c>
      <c r="BB224" s="7">
        <f t="shared" si="49"/>
        <v>-24.013992159407636</v>
      </c>
      <c r="BC224" s="7">
        <f t="shared" si="50"/>
        <v>18.056918089428052</v>
      </c>
      <c r="BF224" s="7">
        <f t="shared" si="51"/>
        <v>-172.96832803225095</v>
      </c>
      <c r="BG224" s="7">
        <f t="shared" si="52"/>
        <v>78.925012679024206</v>
      </c>
      <c r="BI224" s="10">
        <f t="shared" si="53"/>
        <v>-288.5221527801782</v>
      </c>
      <c r="BJ224">
        <f t="shared" si="54"/>
        <v>283.71220317386792</v>
      </c>
    </row>
    <row r="225" spans="42:62" x14ac:dyDescent="0.25">
      <c r="AP225" s="1">
        <v>220</v>
      </c>
      <c r="AQ225" s="7">
        <f t="shared" si="43"/>
        <v>42843.111138432054</v>
      </c>
      <c r="AR225" s="7">
        <f t="shared" si="44"/>
        <v>-37378.455562951087</v>
      </c>
      <c r="AS225" s="7"/>
      <c r="AT225" s="7">
        <f t="shared" si="45"/>
        <v>2790.3840972703583</v>
      </c>
      <c r="AU225" s="7">
        <f t="shared" si="46"/>
        <v>-2330.7589375114708</v>
      </c>
      <c r="AV225" s="7"/>
      <c r="AX225" s="7">
        <f t="shared" si="47"/>
        <v>-88.382149110167546</v>
      </c>
      <c r="AY225" s="7">
        <f t="shared" si="48"/>
        <v>173.63897270216705</v>
      </c>
      <c r="BB225" s="7">
        <f t="shared" si="49"/>
        <v>-22.880370909806029</v>
      </c>
      <c r="BC225" s="7">
        <f t="shared" si="50"/>
        <v>17.249888122600204</v>
      </c>
      <c r="BF225" s="7">
        <f t="shared" si="51"/>
        <v>-161.25964444405039</v>
      </c>
      <c r="BG225" s="7">
        <f t="shared" si="52"/>
        <v>75.428660499245737</v>
      </c>
      <c r="BI225" s="10">
        <f t="shared" si="53"/>
        <v>-272.52216446402394</v>
      </c>
      <c r="BJ225">
        <f t="shared" si="54"/>
        <v>266.317521324013</v>
      </c>
    </row>
    <row r="226" spans="42:62" x14ac:dyDescent="0.25">
      <c r="AP226" s="1">
        <v>221</v>
      </c>
      <c r="AQ226" s="7">
        <f t="shared" si="43"/>
        <v>44204.237916509235</v>
      </c>
      <c r="AR226" s="7">
        <f t="shared" si="44"/>
        <v>-38510.545341541321</v>
      </c>
      <c r="AS226" s="7"/>
      <c r="AT226" s="7">
        <f t="shared" si="45"/>
        <v>2654.1230150383462</v>
      </c>
      <c r="AU226" s="7">
        <f t="shared" si="46"/>
        <v>-2197.6001768494643</v>
      </c>
      <c r="AV226" s="7"/>
      <c r="AX226" s="7">
        <f t="shared" si="47"/>
        <v>-85.407948311497819</v>
      </c>
      <c r="AY226" s="7">
        <f t="shared" si="48"/>
        <v>162.3544724634292</v>
      </c>
      <c r="BB226" s="7">
        <f t="shared" si="49"/>
        <v>-21.879624301232994</v>
      </c>
      <c r="BC226" s="7">
        <f t="shared" si="50"/>
        <v>16.531502298977216</v>
      </c>
      <c r="BF226" s="7">
        <f t="shared" si="51"/>
        <v>-151.17749170761283</v>
      </c>
      <c r="BG226" s="7">
        <f t="shared" si="52"/>
        <v>72.234942027621059</v>
      </c>
      <c r="BI226" s="10">
        <f t="shared" si="53"/>
        <v>-258.46506432034363</v>
      </c>
      <c r="BJ226">
        <f t="shared" si="54"/>
        <v>251.12091679002748</v>
      </c>
    </row>
    <row r="227" spans="42:62" x14ac:dyDescent="0.25">
      <c r="AP227" s="1">
        <v>222</v>
      </c>
      <c r="AQ227" s="7">
        <f t="shared" si="43"/>
        <v>45498.991290988364</v>
      </c>
      <c r="AR227" s="7">
        <f t="shared" si="44"/>
        <v>-39577.955315367297</v>
      </c>
      <c r="AS227" s="7"/>
      <c r="AT227" s="7">
        <f t="shared" si="45"/>
        <v>2524.8904828781742</v>
      </c>
      <c r="AU227" s="7">
        <f t="shared" si="46"/>
        <v>-2072.0397184544504</v>
      </c>
      <c r="AV227" s="7"/>
      <c r="AX227" s="7">
        <f t="shared" si="47"/>
        <v>-82.631944280410238</v>
      </c>
      <c r="AY227" s="7">
        <f t="shared" si="48"/>
        <v>152.56066155957683</v>
      </c>
      <c r="BB227" s="7">
        <f t="shared" si="49"/>
        <v>-20.991461579356688</v>
      </c>
      <c r="BC227" s="7">
        <f t="shared" si="50"/>
        <v>15.889004146065085</v>
      </c>
      <c r="BF227" s="7">
        <f t="shared" si="51"/>
        <v>-142.43284799363875</v>
      </c>
      <c r="BG227" s="7">
        <f t="shared" si="52"/>
        <v>69.322338603877498</v>
      </c>
      <c r="BI227" s="10">
        <f t="shared" si="53"/>
        <v>-246.05625385340568</v>
      </c>
      <c r="BJ227">
        <f t="shared" si="54"/>
        <v>237.77200430951942</v>
      </c>
    </row>
    <row r="228" spans="42:62" x14ac:dyDescent="0.25">
      <c r="AP228" s="1">
        <v>223</v>
      </c>
      <c r="AQ228" s="7">
        <f t="shared" si="43"/>
        <v>46730.679500695776</v>
      </c>
      <c r="AR228" s="7">
        <f t="shared" si="44"/>
        <v>-40584.253674055835</v>
      </c>
      <c r="AS228" s="7"/>
      <c r="AT228" s="7">
        <f t="shared" si="45"/>
        <v>2401.8623559514713</v>
      </c>
      <c r="AU228" s="7">
        <f t="shared" si="46"/>
        <v>-1953.1537162996906</v>
      </c>
      <c r="AV228" s="7"/>
      <c r="AX228" s="7">
        <f t="shared" si="47"/>
        <v>-80.056204102995068</v>
      </c>
      <c r="AY228" s="7">
        <f t="shared" si="48"/>
        <v>144.00841647778563</v>
      </c>
      <c r="BB228" s="7">
        <f t="shared" si="49"/>
        <v>-20.199564639423901</v>
      </c>
      <c r="BC228" s="7">
        <f t="shared" si="50"/>
        <v>15.311996063451641</v>
      </c>
      <c r="BF228" s="7">
        <f t="shared" si="51"/>
        <v>-134.79953906551859</v>
      </c>
      <c r="BG228" s="7">
        <f t="shared" si="52"/>
        <v>66.667316878210372</v>
      </c>
      <c r="BI228" s="10">
        <f t="shared" si="53"/>
        <v>-235.05530780793754</v>
      </c>
      <c r="BJ228">
        <f t="shared" si="54"/>
        <v>225.98772941944765</v>
      </c>
    </row>
    <row r="229" spans="42:62" x14ac:dyDescent="0.25">
      <c r="AP229" s="1">
        <v>224</v>
      </c>
      <c r="AQ229" s="7">
        <f t="shared" si="43"/>
        <v>47902.228765195519</v>
      </c>
      <c r="AR229" s="7">
        <f t="shared" si="44"/>
        <v>-41532.582066028255</v>
      </c>
      <c r="AS229" s="7"/>
      <c r="AT229" s="7">
        <f t="shared" si="45"/>
        <v>2284.3347020475026</v>
      </c>
      <c r="AU229" s="7">
        <f t="shared" si="46"/>
        <v>-1840.1598515899668</v>
      </c>
      <c r="AV229" s="7"/>
      <c r="AX229" s="7">
        <f t="shared" si="47"/>
        <v>-77.675681820678093</v>
      </c>
      <c r="AY229" s="7">
        <f t="shared" si="48"/>
        <v>136.49946301629822</v>
      </c>
      <c r="BB229" s="7">
        <f t="shared" si="49"/>
        <v>-19.490671727020029</v>
      </c>
      <c r="BC229" s="7">
        <f t="shared" si="50"/>
        <v>14.791924485540621</v>
      </c>
      <c r="BF229" s="7">
        <f t="shared" si="51"/>
        <v>-128.09855637468127</v>
      </c>
      <c r="BG229" s="7">
        <f t="shared" si="52"/>
        <v>64.246545729412546</v>
      </c>
      <c r="BI229" s="10">
        <f t="shared" si="53"/>
        <v>-225.26490992237939</v>
      </c>
      <c r="BJ229">
        <f t="shared" si="54"/>
        <v>215.53793323125137</v>
      </c>
    </row>
    <row r="230" spans="42:62" x14ac:dyDescent="0.25">
      <c r="AP230" s="1">
        <v>225</v>
      </c>
      <c r="AQ230" s="7">
        <f t="shared" si="43"/>
        <v>49016.238002478975</v>
      </c>
      <c r="AR230" s="7">
        <f t="shared" si="44"/>
        <v>-42425.71975016933</v>
      </c>
      <c r="AS230" s="7"/>
      <c r="AT230" s="7">
        <f t="shared" si="45"/>
        <v>2171.702247086313</v>
      </c>
      <c r="AU230" s="7">
        <f t="shared" si="46"/>
        <v>-1732.3908849743411</v>
      </c>
      <c r="AV230" s="7"/>
      <c r="AX230" s="7">
        <f t="shared" si="47"/>
        <v>-75.481537175975888</v>
      </c>
      <c r="AY230" s="7">
        <f t="shared" si="48"/>
        <v>129.87452305284387</v>
      </c>
      <c r="BB230" s="7">
        <f t="shared" si="49"/>
        <v>-18.85390251548197</v>
      </c>
      <c r="BC230" s="7">
        <f t="shared" si="50"/>
        <v>14.321693533022868</v>
      </c>
      <c r="BF230" s="7">
        <f t="shared" si="51"/>
        <v>-122.18673258372753</v>
      </c>
      <c r="BG230" s="7">
        <f t="shared" si="52"/>
        <v>62.03799466516724</v>
      </c>
      <c r="BI230" s="10">
        <f t="shared" si="53"/>
        <v>-216.5221722751854</v>
      </c>
      <c r="BJ230">
        <f t="shared" si="54"/>
        <v>206.23421125103397</v>
      </c>
    </row>
    <row r="231" spans="42:62" x14ac:dyDescent="0.25">
      <c r="AP231" s="1">
        <v>226</v>
      </c>
      <c r="AQ231" s="7">
        <f t="shared" si="43"/>
        <v>50075.023854487736</v>
      </c>
      <c r="AR231" s="7">
        <f t="shared" si="44"/>
        <v>-43266.135916250125</v>
      </c>
      <c r="AS231" s="7"/>
      <c r="AT231" s="7">
        <f t="shared" si="45"/>
        <v>2063.4411609487202</v>
      </c>
      <c r="AU231" s="7">
        <f t="shared" si="46"/>
        <v>-1629.2737793488241</v>
      </c>
      <c r="AV231" s="7"/>
      <c r="AX231" s="7">
        <f t="shared" si="47"/>
        <v>-73.463126470344491</v>
      </c>
      <c r="AY231" s="7">
        <f t="shared" si="48"/>
        <v>124.00452552491264</v>
      </c>
      <c r="BB231" s="7">
        <f t="shared" si="49"/>
        <v>-18.280253924871335</v>
      </c>
      <c r="BC231" s="7">
        <f t="shared" si="50"/>
        <v>13.895371511648834</v>
      </c>
      <c r="BF231" s="7">
        <f t="shared" si="51"/>
        <v>-116.94845854506165</v>
      </c>
      <c r="BG231" s="7">
        <f t="shared" si="52"/>
        <v>60.021417932827568</v>
      </c>
      <c r="BI231" s="10">
        <f t="shared" si="53"/>
        <v>-208.69183894027748</v>
      </c>
      <c r="BJ231">
        <f t="shared" si="54"/>
        <v>197.92131496938904</v>
      </c>
    </row>
    <row r="232" spans="42:62" x14ac:dyDescent="0.25">
      <c r="AP232" s="1">
        <v>227</v>
      </c>
      <c r="AQ232" s="7">
        <f t="shared" si="43"/>
        <v>51080.657955094561</v>
      </c>
      <c r="AR232" s="7">
        <f t="shared" si="44"/>
        <v>-44056.032641553364</v>
      </c>
      <c r="AS232" s="7"/>
      <c r="AT232" s="7">
        <f t="shared" si="45"/>
        <v>1959.0952414785813</v>
      </c>
      <c r="AU232" s="7">
        <f t="shared" si="46"/>
        <v>-1530.3131218641295</v>
      </c>
      <c r="AV232" s="7"/>
      <c r="AX232" s="7">
        <f t="shared" si="47"/>
        <v>-71.609188946493433</v>
      </c>
      <c r="AY232" s="7">
        <f t="shared" si="48"/>
        <v>118.78402600403847</v>
      </c>
      <c r="BB232" s="7">
        <f t="shared" si="49"/>
        <v>-17.762218602364403</v>
      </c>
      <c r="BC232" s="7">
        <f t="shared" si="50"/>
        <v>13.507965404068116</v>
      </c>
      <c r="BF232" s="7">
        <f t="shared" si="51"/>
        <v>-112.2895502467166</v>
      </c>
      <c r="BG232" s="7">
        <f t="shared" si="52"/>
        <v>58.178504964875337</v>
      </c>
      <c r="BI232" s="10">
        <f t="shared" si="53"/>
        <v>-201.66095779557446</v>
      </c>
      <c r="BJ232">
        <f t="shared" si="54"/>
        <v>190.47049637298193</v>
      </c>
    </row>
    <row r="233" spans="42:62" x14ac:dyDescent="0.25">
      <c r="AP233" s="1">
        <v>228</v>
      </c>
      <c r="AQ233" s="7">
        <f t="shared" si="43"/>
        <v>52034.997956109408</v>
      </c>
      <c r="AR233" s="7">
        <f t="shared" si="44"/>
        <v>-44797.380390438811</v>
      </c>
      <c r="AS233" s="7"/>
      <c r="AT233" s="7">
        <f t="shared" si="45"/>
        <v>1858.264762580794</v>
      </c>
      <c r="AU233" s="7">
        <f t="shared" si="46"/>
        <v>-1435.0778736776385</v>
      </c>
      <c r="AV233" s="7"/>
      <c r="AX233" s="7">
        <f t="shared" si="47"/>
        <v>-69.908542029002263</v>
      </c>
      <c r="AY233" s="7">
        <f t="shared" si="48"/>
        <v>114.12623219270307</v>
      </c>
      <c r="BB233" s="7">
        <f t="shared" si="49"/>
        <v>-17.293492790277792</v>
      </c>
      <c r="BC233" s="7">
        <f t="shared" si="50"/>
        <v>13.155245777692043</v>
      </c>
      <c r="BF233" s="7">
        <f t="shared" si="51"/>
        <v>-108.13265462072972</v>
      </c>
      <c r="BG233" s="7">
        <f t="shared" si="52"/>
        <v>56.492854524888898</v>
      </c>
      <c r="BI233" s="10">
        <f t="shared" si="53"/>
        <v>-195.33468944000978</v>
      </c>
      <c r="BJ233">
        <f t="shared" si="54"/>
        <v>183.774332495284</v>
      </c>
    </row>
    <row r="234" spans="42:62" x14ac:dyDescent="0.25">
      <c r="AP234" s="1">
        <v>229</v>
      </c>
      <c r="AQ234" s="7">
        <f t="shared" si="43"/>
        <v>52939.713501219798</v>
      </c>
      <c r="AR234" s="7">
        <f t="shared" si="44"/>
        <v>-45491.947535715721</v>
      </c>
      <c r="AS234" s="7"/>
      <c r="AT234" s="7">
        <f t="shared" si="45"/>
        <v>1760.5974178607892</v>
      </c>
      <c r="AU234" s="7">
        <f t="shared" si="46"/>
        <v>-1343.1907074299966</v>
      </c>
      <c r="AV234" s="7"/>
      <c r="AX234" s="7">
        <f t="shared" si="47"/>
        <v>-68.350475431371834</v>
      </c>
      <c r="AY234" s="7">
        <f t="shared" si="48"/>
        <v>109.95920799269716</v>
      </c>
      <c r="BB234" s="7">
        <f t="shared" si="49"/>
        <v>-16.868750199085358</v>
      </c>
      <c r="BC234" s="7">
        <f t="shared" si="50"/>
        <v>12.833609512670824</v>
      </c>
      <c r="BF234" s="7">
        <f t="shared" si="51"/>
        <v>-104.41377019805014</v>
      </c>
      <c r="BG234" s="7">
        <f t="shared" si="52"/>
        <v>54.94986099332705</v>
      </c>
      <c r="BI234" s="10">
        <f t="shared" si="53"/>
        <v>-189.63299582850732</v>
      </c>
      <c r="BJ234">
        <f t="shared" si="54"/>
        <v>177.74267849869503</v>
      </c>
    </row>
    <row r="235" spans="42:62" x14ac:dyDescent="0.25">
      <c r="AP235" s="1">
        <v>230</v>
      </c>
      <c r="AQ235" s="7">
        <f t="shared" si="43"/>
        <v>53796.308085671626</v>
      </c>
      <c r="AR235" s="7">
        <f t="shared" si="44"/>
        <v>-46141.325054618384</v>
      </c>
      <c r="AS235" s="7"/>
      <c r="AT235" s="7">
        <f t="shared" si="45"/>
        <v>1665.7809199465355</v>
      </c>
      <c r="AU235" s="7">
        <f t="shared" si="46"/>
        <v>-1254.319368180649</v>
      </c>
      <c r="AV235" s="7"/>
      <c r="AX235" s="7">
        <f t="shared" si="47"/>
        <v>-66.924960618675115</v>
      </c>
      <c r="AY235" s="7">
        <f t="shared" si="48"/>
        <v>106.22295067596121</v>
      </c>
      <c r="BB235" s="7">
        <f t="shared" si="49"/>
        <v>-16.483465218806383</v>
      </c>
      <c r="BC235" s="7">
        <f t="shared" si="50"/>
        <v>12.539971211041964</v>
      </c>
      <c r="BF235" s="7">
        <f t="shared" si="51"/>
        <v>-101.07958483981987</v>
      </c>
      <c r="BG235" s="7">
        <f t="shared" si="52"/>
        <v>53.536562249727361</v>
      </c>
      <c r="BI235" s="10">
        <f t="shared" si="53"/>
        <v>-184.48801067730136</v>
      </c>
      <c r="BJ235">
        <f t="shared" si="54"/>
        <v>172.29948413673054</v>
      </c>
    </row>
    <row r="236" spans="42:62" x14ac:dyDescent="0.25">
      <c r="AP236" s="1">
        <v>231</v>
      </c>
      <c r="AQ236" s="7">
        <f t="shared" si="43"/>
        <v>54606.137544310237</v>
      </c>
      <c r="AR236" s="7">
        <f t="shared" si="44"/>
        <v>-46746.947303191613</v>
      </c>
      <c r="AS236" s="7"/>
      <c r="AT236" s="7">
        <f t="shared" si="45"/>
        <v>1573.5369146078849</v>
      </c>
      <c r="AU236" s="7">
        <f t="shared" si="46"/>
        <v>-1168.1696261122838</v>
      </c>
      <c r="AV236" s="7"/>
      <c r="AX236" s="7">
        <f t="shared" si="47"/>
        <v>-65.622747675015731</v>
      </c>
      <c r="AY236" s="7">
        <f t="shared" si="48"/>
        <v>102.8671209105365</v>
      </c>
      <c r="BB236" s="7">
        <f t="shared" si="49"/>
        <v>-16.133773431889217</v>
      </c>
      <c r="BC236" s="7">
        <f t="shared" si="50"/>
        <v>12.271676578851025</v>
      </c>
      <c r="BF236" s="7">
        <f t="shared" si="51"/>
        <v>-98.085418961963626</v>
      </c>
      <c r="BG236" s="7">
        <f t="shared" si="52"/>
        <v>52.241476386254661</v>
      </c>
      <c r="BI236" s="10">
        <f t="shared" si="53"/>
        <v>-179.84194006886855</v>
      </c>
      <c r="BJ236">
        <f t="shared" si="54"/>
        <v>167.38027387564219</v>
      </c>
    </row>
    <row r="237" spans="42:62" x14ac:dyDescent="0.25">
      <c r="AP237" s="1">
        <v>232</v>
      </c>
      <c r="AQ237" s="7">
        <f t="shared" si="43"/>
        <v>55370.425759105572</v>
      </c>
      <c r="AR237" s="7">
        <f t="shared" si="44"/>
        <v>-47310.109582013298</v>
      </c>
      <c r="AS237" s="7"/>
      <c r="AT237" s="7">
        <f t="shared" si="45"/>
        <v>1483.6159445734506</v>
      </c>
      <c r="AU237" s="7">
        <f t="shared" si="46"/>
        <v>-1084.4794891744627</v>
      </c>
      <c r="AV237" s="7"/>
      <c r="AX237" s="7">
        <f t="shared" si="47"/>
        <v>-64.435394429090081</v>
      </c>
      <c r="AY237" s="7">
        <f t="shared" si="48"/>
        <v>99.849265419415886</v>
      </c>
      <c r="BB237" s="7">
        <f t="shared" si="49"/>
        <v>-15.81636062764024</v>
      </c>
      <c r="BC237" s="7">
        <f t="shared" si="50"/>
        <v>12.026432803442075</v>
      </c>
      <c r="BF237" s="7">
        <f t="shared" si="51"/>
        <v>-95.39362219971612</v>
      </c>
      <c r="BG237" s="7">
        <f t="shared" si="52"/>
        <v>51.054441772478711</v>
      </c>
      <c r="BI237" s="10">
        <f t="shared" si="53"/>
        <v>-175.64537725644644</v>
      </c>
      <c r="BJ237">
        <f t="shared" si="54"/>
        <v>162.93013999533667</v>
      </c>
    </row>
    <row r="238" spans="42:62" x14ac:dyDescent="0.25">
      <c r="AP238" s="1">
        <v>233</v>
      </c>
      <c r="AQ238" s="7">
        <f t="shared" si="43"/>
        <v>56090.278059235243</v>
      </c>
      <c r="AR238" s="7">
        <f t="shared" si="44"/>
        <v>-47831.983059101112</v>
      </c>
      <c r="AS238" s="7"/>
      <c r="AT238" s="7">
        <f t="shared" si="45"/>
        <v>1395.7932559452274</v>
      </c>
      <c r="AU238" s="7">
        <f t="shared" si="46"/>
        <v>-1003.0144191767944</v>
      </c>
      <c r="AV238" s="7"/>
      <c r="AX238" s="7">
        <f t="shared" si="47"/>
        <v>-63.35525586847799</v>
      </c>
      <c r="AY238" s="7">
        <f t="shared" si="48"/>
        <v>97.133414673777764</v>
      </c>
      <c r="BB238" s="7">
        <f t="shared" si="49"/>
        <v>-15.528373811389777</v>
      </c>
      <c r="BC238" s="7">
        <f t="shared" si="50"/>
        <v>11.802252194381175</v>
      </c>
      <c r="BF238" s="7">
        <f t="shared" si="51"/>
        <v>-92.972313050294972</v>
      </c>
      <c r="BG238" s="7">
        <f t="shared" si="52"/>
        <v>49.966467726222398</v>
      </c>
      <c r="BI238" s="10">
        <f t="shared" si="53"/>
        <v>-171.85594273016275</v>
      </c>
      <c r="BJ238">
        <f t="shared" si="54"/>
        <v>158.90213459438132</v>
      </c>
    </row>
    <row r="239" spans="42:62" x14ac:dyDescent="0.25">
      <c r="AP239" s="1">
        <v>234</v>
      </c>
      <c r="AQ239" s="7">
        <f t="shared" si="43"/>
        <v>56766.692694366589</v>
      </c>
      <c r="AR239" s="7">
        <f t="shared" si="44"/>
        <v>-48313.627501865209</v>
      </c>
      <c r="AS239" s="7"/>
      <c r="AT239" s="7">
        <f t="shared" si="45"/>
        <v>1309.865284580146</v>
      </c>
      <c r="AU239" s="7">
        <f t="shared" si="46"/>
        <v>-923.56335187960372</v>
      </c>
      <c r="AV239" s="7"/>
      <c r="AX239" s="7">
        <f t="shared" si="47"/>
        <v>-62.375451372828664</v>
      </c>
      <c r="AY239" s="7">
        <f t="shared" si="48"/>
        <v>94.688968548895005</v>
      </c>
      <c r="BB239" s="7">
        <f t="shared" si="49"/>
        <v>-15.267349346250978</v>
      </c>
      <c r="BC239" s="7">
        <f t="shared" si="50"/>
        <v>11.597406263972836</v>
      </c>
      <c r="BF239" s="7">
        <f t="shared" si="51"/>
        <v>-90.794380416187792</v>
      </c>
      <c r="BG239" s="7">
        <f t="shared" si="52"/>
        <v>48.96959892954397</v>
      </c>
      <c r="BI239" s="10">
        <f t="shared" si="53"/>
        <v>-168.43718113526745</v>
      </c>
      <c r="BJ239">
        <f t="shared" si="54"/>
        <v>155.25597374241181</v>
      </c>
    </row>
    <row r="240" spans="42:62" x14ac:dyDescent="0.25">
      <c r="AP240" s="1">
        <v>235</v>
      </c>
      <c r="AQ240" s="7">
        <f t="shared" si="43"/>
        <v>57400.570689014748</v>
      </c>
      <c r="AR240" s="7">
        <f t="shared" si="44"/>
        <v>-48756.002181087213</v>
      </c>
      <c r="AS240" s="7"/>
      <c r="AT240" s="7">
        <f t="shared" si="45"/>
        <v>1225.6466940125122</v>
      </c>
      <c r="AU240" s="7">
        <f t="shared" si="46"/>
        <v>-845.93536500839787</v>
      </c>
      <c r="AV240" s="7"/>
      <c r="AX240" s="7">
        <f t="shared" si="47"/>
        <v>-61.489820694494192</v>
      </c>
      <c r="AY240" s="7">
        <f t="shared" si="48"/>
        <v>92.489804924825677</v>
      </c>
      <c r="BB240" s="7">
        <f t="shared" si="49"/>
        <v>-15.031154558599923</v>
      </c>
      <c r="BC240" s="7">
        <f t="shared" si="50"/>
        <v>11.410388091036415</v>
      </c>
      <c r="BF240" s="7">
        <f t="shared" si="51"/>
        <v>-88.836686955738628</v>
      </c>
      <c r="BG240" s="7">
        <f t="shared" si="52"/>
        <v>48.056794441567362</v>
      </c>
      <c r="BI240" s="10">
        <f t="shared" si="53"/>
        <v>-165.35766220883275</v>
      </c>
      <c r="BJ240">
        <f t="shared" si="54"/>
        <v>151.95698745742945</v>
      </c>
    </row>
    <row r="241" spans="42:62" x14ac:dyDescent="0.25">
      <c r="AP241" s="1">
        <v>236</v>
      </c>
      <c r="AQ241" s="7">
        <f t="shared" si="43"/>
        <v>57992.724328244898</v>
      </c>
      <c r="AR241" s="7">
        <f t="shared" si="44"/>
        <v>-49159.975240159234</v>
      </c>
      <c r="AS241" s="7"/>
      <c r="AT241" s="7">
        <f t="shared" si="45"/>
        <v>1142.9678629080959</v>
      </c>
      <c r="AU241" s="7">
        <f t="shared" si="46"/>
        <v>-769.95687127968313</v>
      </c>
      <c r="AV241" s="7"/>
      <c r="AX241" s="7">
        <f t="shared" si="47"/>
        <v>-60.692875443336156</v>
      </c>
      <c r="AY241" s="7">
        <f t="shared" si="48"/>
        <v>90.51356228531759</v>
      </c>
      <c r="BB241" s="7">
        <f t="shared" si="49"/>
        <v>-14.817940013619726</v>
      </c>
      <c r="BC241" s="7">
        <f t="shared" si="50"/>
        <v>11.239881307729091</v>
      </c>
      <c r="BF241" s="7">
        <f t="shared" si="51"/>
        <v>-87.079429288828777</v>
      </c>
      <c r="BG241" s="7">
        <f t="shared" si="52"/>
        <v>47.221820934958558</v>
      </c>
      <c r="BI241" s="10">
        <f t="shared" si="53"/>
        <v>-162.59024474578467</v>
      </c>
      <c r="BJ241">
        <f t="shared" si="54"/>
        <v>148.97526452800525</v>
      </c>
    </row>
    <row r="242" spans="42:62" x14ac:dyDescent="0.25">
      <c r="AP242" s="1">
        <v>237</v>
      </c>
      <c r="AQ242" s="7">
        <f t="shared" si="43"/>
        <v>58543.884479105727</v>
      </c>
      <c r="AR242" s="7">
        <f t="shared" si="44"/>
        <v>-49526.331767733078</v>
      </c>
      <c r="AS242" s="7"/>
      <c r="AT242" s="7">
        <f t="shared" si="45"/>
        <v>1061.6727405352035</v>
      </c>
      <c r="AU242" s="7">
        <f t="shared" si="46"/>
        <v>-695.4692390156805</v>
      </c>
      <c r="AV242" s="7"/>
      <c r="AX242" s="7">
        <f t="shared" si="47"/>
        <v>-59.979750188894521</v>
      </c>
      <c r="AY242" s="7">
        <f t="shared" si="48"/>
        <v>88.741059180784688</v>
      </c>
      <c r="BB242" s="7">
        <f t="shared" si="49"/>
        <v>-14.626100315796963</v>
      </c>
      <c r="BC242" s="7">
        <f t="shared" si="50"/>
        <v>11.084734421276082</v>
      </c>
      <c r="BF242" s="7">
        <f t="shared" si="51"/>
        <v>-85.505621139332547</v>
      </c>
      <c r="BG242" s="7">
        <f t="shared" si="52"/>
        <v>46.459159172641023</v>
      </c>
      <c r="BI242" s="10">
        <f t="shared" si="53"/>
        <v>-160.11147164402402</v>
      </c>
      <c r="BJ242">
        <f t="shared" si="54"/>
        <v>146.28495277470179</v>
      </c>
    </row>
    <row r="243" spans="42:62" x14ac:dyDescent="0.25">
      <c r="AP243" s="1">
        <v>238</v>
      </c>
      <c r="AQ243" s="7">
        <f t="shared" si="43"/>
        <v>59054.706915417824</v>
      </c>
      <c r="AR243" s="7">
        <f t="shared" si="44"/>
        <v>-49855.780768144083</v>
      </c>
      <c r="AS243" s="7"/>
      <c r="AT243" s="7">
        <f t="shared" si="45"/>
        <v>981.61700471319148</v>
      </c>
      <c r="AU243" s="7">
        <f t="shared" si="46"/>
        <v>-622.32676262832956</v>
      </c>
      <c r="AV243" s="7"/>
      <c r="AX243" s="7">
        <f t="shared" si="47"/>
        <v>-59.346155618451938</v>
      </c>
      <c r="AY243" s="7">
        <f t="shared" si="48"/>
        <v>87.155822176720491</v>
      </c>
      <c r="BB243" s="7">
        <f t="shared" si="49"/>
        <v>-14.454241774529621</v>
      </c>
      <c r="BC243" s="7">
        <f t="shared" si="50"/>
        <v>10.943939463992409</v>
      </c>
      <c r="BF243" s="7">
        <f t="shared" si="51"/>
        <v>-84.100673613745442</v>
      </c>
      <c r="BG243" s="7">
        <f t="shared" si="52"/>
        <v>45.763922482773403</v>
      </c>
      <c r="BI243" s="10">
        <f t="shared" si="53"/>
        <v>-157.90107100672699</v>
      </c>
      <c r="BJ243">
        <f t="shared" si="54"/>
        <v>143.86368412348631</v>
      </c>
    </row>
    <row r="244" spans="42:62" x14ac:dyDescent="0.25">
      <c r="AP244" s="1">
        <v>239</v>
      </c>
      <c r="AQ244" s="7">
        <f t="shared" si="43"/>
        <v>59525.777783898578</v>
      </c>
      <c r="AR244" s="7">
        <f t="shared" si="44"/>
        <v>-50148.961188942812</v>
      </c>
      <c r="AS244" s="7"/>
      <c r="AT244" s="7">
        <f t="shared" si="45"/>
        <v>902.66646920982794</v>
      </c>
      <c r="AU244" s="7">
        <f t="shared" si="46"/>
        <v>-550.39492056658639</v>
      </c>
      <c r="AV244" s="7"/>
      <c r="AX244" s="7">
        <f t="shared" si="47"/>
        <v>-58.788335133178222</v>
      </c>
      <c r="AY244" s="7">
        <f t="shared" si="48"/>
        <v>85.74370045251203</v>
      </c>
      <c r="BB244" s="7">
        <f t="shared" si="49"/>
        <v>-14.301155641502953</v>
      </c>
      <c r="BC244" s="7">
        <f t="shared" si="50"/>
        <v>10.816614179810696</v>
      </c>
      <c r="BF244" s="7">
        <f t="shared" si="51"/>
        <v>-82.8520528426955</v>
      </c>
      <c r="BG244" s="7">
        <f t="shared" si="52"/>
        <v>45.131785928178758</v>
      </c>
      <c r="BI244" s="10">
        <f t="shared" si="53"/>
        <v>-155.94154361737668</v>
      </c>
      <c r="BJ244">
        <f t="shared" si="54"/>
        <v>141.6921005605015</v>
      </c>
    </row>
    <row r="245" spans="42:62" x14ac:dyDescent="0.25">
      <c r="AP245" s="1">
        <v>240</v>
      </c>
      <c r="AQ245" s="7">
        <f t="shared" si="43"/>
        <v>59957.618325551317</v>
      </c>
      <c r="AR245" s="7">
        <f t="shared" si="44"/>
        <v>-50406.447136656039</v>
      </c>
      <c r="AS245" s="7"/>
      <c r="AT245" s="7">
        <f t="shared" si="45"/>
        <v>824.69569740113957</v>
      </c>
      <c r="AU245" s="7">
        <f t="shared" si="46"/>
        <v>-479.54887028633561</v>
      </c>
      <c r="AV245" s="7"/>
      <c r="AX245" s="7">
        <f t="shared" si="47"/>
        <v>-58.303025604821521</v>
      </c>
      <c r="AY245" s="7">
        <f t="shared" si="48"/>
        <v>84.492550146158351</v>
      </c>
      <c r="BB245" s="7">
        <f t="shared" si="49"/>
        <v>-14.165795905764904</v>
      </c>
      <c r="BC245" s="7">
        <f t="shared" si="50"/>
        <v>10.701987120804427</v>
      </c>
      <c r="BF245" s="7">
        <f t="shared" si="51"/>
        <v>-81.748999727139278</v>
      </c>
      <c r="BG245" s="7">
        <f t="shared" si="52"/>
        <v>44.558924910196822</v>
      </c>
      <c r="BI245" s="10">
        <f t="shared" si="53"/>
        <v>-154.2178212377257</v>
      </c>
      <c r="BJ245">
        <f t="shared" si="54"/>
        <v>139.75346217715961</v>
      </c>
    </row>
    <row r="246" spans="42:62" x14ac:dyDescent="0.25">
      <c r="AP246" s="1">
        <v>241</v>
      </c>
      <c r="AQ246" s="7">
        <f t="shared" si="43"/>
        <v>60350.688946597169</v>
      </c>
      <c r="AR246" s="7">
        <f t="shared" si="44"/>
        <v>-50628.75238902706</v>
      </c>
      <c r="AS246" s="7"/>
      <c r="AT246" s="7">
        <f t="shared" si="45"/>
        <v>747.5867867822767</v>
      </c>
      <c r="AU246" s="7">
        <f t="shared" si="46"/>
        <v>-409.67213919775583</v>
      </c>
      <c r="AV246" s="7"/>
      <c r="AX246" s="7">
        <f t="shared" si="47"/>
        <v>-57.887422611071898</v>
      </c>
      <c r="AY246" s="7">
        <f t="shared" si="48"/>
        <v>83.391975285758619</v>
      </c>
      <c r="BB246" s="7">
        <f t="shared" si="49"/>
        <v>-14.047260847130074</v>
      </c>
      <c r="BC246" s="7">
        <f t="shared" si="50"/>
        <v>10.599385155375096</v>
      </c>
      <c r="BF246" s="7">
        <f t="shared" si="51"/>
        <v>-80.782299942790829</v>
      </c>
      <c r="BG246" s="7">
        <f t="shared" si="52"/>
        <v>44.041962043120542</v>
      </c>
      <c r="BI246" s="10">
        <f t="shared" si="53"/>
        <v>-152.7169834009928</v>
      </c>
      <c r="BJ246">
        <f t="shared" si="54"/>
        <v>138.03332248425426</v>
      </c>
    </row>
    <row r="247" spans="42:62" x14ac:dyDescent="0.25">
      <c r="AP247" s="1">
        <v>242</v>
      </c>
      <c r="AQ247" s="7">
        <f t="shared" si="43"/>
        <v>60705.392717063187</v>
      </c>
      <c r="AR247" s="7">
        <f t="shared" si="44"/>
        <v>-50816.334293315413</v>
      </c>
      <c r="AS247" s="7"/>
      <c r="AT247" s="7">
        <f t="shared" si="45"/>
        <v>671.22829508178029</v>
      </c>
      <c r="AU247" s="7">
        <f t="shared" si="46"/>
        <v>-340.65547795562873</v>
      </c>
      <c r="AV247" s="7"/>
      <c r="AX247" s="7">
        <f t="shared" si="47"/>
        <v>-57.539150228354622</v>
      </c>
      <c r="AY247" s="7">
        <f t="shared" si="48"/>
        <v>82.433115017299727</v>
      </c>
      <c r="BB247" s="7">
        <f t="shared" si="49"/>
        <v>-13.944777715025037</v>
      </c>
      <c r="BC247" s="7">
        <f t="shared" si="50"/>
        <v>10.508222989956828</v>
      </c>
      <c r="BF247" s="7">
        <f t="shared" si="51"/>
        <v>-79.944094956661885</v>
      </c>
      <c r="BG247" s="7">
        <f t="shared" si="52"/>
        <v>43.577921253345991</v>
      </c>
      <c r="BI247" s="10">
        <f t="shared" si="53"/>
        <v>-151.42802290004155</v>
      </c>
      <c r="BJ247">
        <f t="shared" si="54"/>
        <v>136.51925926060255</v>
      </c>
    </row>
    <row r="248" spans="42:62" x14ac:dyDescent="0.25">
      <c r="AP248" s="1">
        <v>243</v>
      </c>
      <c r="AQ248" s="7">
        <f t="shared" si="43"/>
        <v>61022.078361741573</v>
      </c>
      <c r="AR248" s="7">
        <f t="shared" si="44"/>
        <v>-50969.597124885651</v>
      </c>
      <c r="AS248" s="7"/>
      <c r="AT248" s="7">
        <f t="shared" si="45"/>
        <v>595.51428363175955</v>
      </c>
      <c r="AU248" s="7">
        <f t="shared" si="46"/>
        <v>-272.39584832532745</v>
      </c>
      <c r="AV248" s="7"/>
      <c r="AX248" s="7">
        <f t="shared" si="47"/>
        <v>-57.256235327996627</v>
      </c>
      <c r="AY248" s="7">
        <f t="shared" si="48"/>
        <v>81.608469054016027</v>
      </c>
      <c r="BB248" s="7">
        <f t="shared" si="49"/>
        <v>-13.857690030160567</v>
      </c>
      <c r="BC248" s="7">
        <f t="shared" si="50"/>
        <v>10.427994385039041</v>
      </c>
      <c r="BF248" s="7">
        <f t="shared" si="51"/>
        <v>-79.227726808646736</v>
      </c>
      <c r="BG248" s="7">
        <f t="shared" si="52"/>
        <v>43.164188179797129</v>
      </c>
      <c r="BI248" s="10">
        <f t="shared" si="53"/>
        <v>-150.34165216680393</v>
      </c>
      <c r="BJ248">
        <f t="shared" si="54"/>
        <v>135.20065161885219</v>
      </c>
    </row>
    <row r="249" spans="42:62" x14ac:dyDescent="0.25">
      <c r="AP249" s="1">
        <v>244</v>
      </c>
      <c r="AQ249" s="7">
        <f t="shared" si="43"/>
        <v>61301.0427970366</v>
      </c>
      <c r="AR249" s="7">
        <f t="shared" si="44"/>
        <v>-51088.894967595959</v>
      </c>
      <c r="AS249" s="7"/>
      <c r="AT249" s="7">
        <f t="shared" si="45"/>
        <v>520.34345754835761</v>
      </c>
      <c r="AU249" s="7">
        <f t="shared" si="46"/>
        <v>-204.79552251590135</v>
      </c>
      <c r="AV249" s="7"/>
      <c r="AX249" s="7">
        <f t="shared" si="47"/>
        <v>-57.037086258023081</v>
      </c>
      <c r="AY249" s="7">
        <f t="shared" si="48"/>
        <v>80.911754999774459</v>
      </c>
      <c r="BB249" s="7">
        <f t="shared" si="49"/>
        <v>-13.785447109289663</v>
      </c>
      <c r="BC249" s="7">
        <f t="shared" si="50"/>
        <v>10.358264809014742</v>
      </c>
      <c r="BF249" s="7">
        <f t="shared" si="51"/>
        <v>-78.627610961920723</v>
      </c>
      <c r="BG249" s="7">
        <f t="shared" si="52"/>
        <v>42.798476069890455</v>
      </c>
      <c r="BI249" s="10">
        <f t="shared" si="53"/>
        <v>-149.45014432923347</v>
      </c>
      <c r="BJ249">
        <f t="shared" si="54"/>
        <v>134.06849587867964</v>
      </c>
    </row>
    <row r="250" spans="42:62" x14ac:dyDescent="0.25">
      <c r="AP250" s="1">
        <v>245</v>
      </c>
      <c r="AQ250" s="7">
        <f t="shared" si="43"/>
        <v>61542.533257769624</v>
      </c>
      <c r="AR250" s="7">
        <f t="shared" si="44"/>
        <v>-51174.534166869074</v>
      </c>
      <c r="AS250" s="7"/>
      <c r="AT250" s="7">
        <f t="shared" si="45"/>
        <v>445.61838538374087</v>
      </c>
      <c r="AU250" s="7">
        <f t="shared" si="46"/>
        <v>-137.76127457656153</v>
      </c>
      <c r="AV250" s="7"/>
      <c r="AX250" s="7">
        <f t="shared" si="47"/>
        <v>-56.880475773945371</v>
      </c>
      <c r="AY250" s="7">
        <f t="shared" si="48"/>
        <v>80.337792558712877</v>
      </c>
      <c r="BB250" s="7">
        <f t="shared" si="49"/>
        <v>-13.727595495407579</v>
      </c>
      <c r="BC250" s="7">
        <f t="shared" si="50"/>
        <v>10.298665323630379</v>
      </c>
      <c r="BF250" s="7">
        <f t="shared" si="51"/>
        <v>-78.139132740611572</v>
      </c>
      <c r="BG250" s="7">
        <f t="shared" si="52"/>
        <v>42.478796473603254</v>
      </c>
      <c r="BI250" s="10">
        <f t="shared" si="53"/>
        <v>-148.74720400996452</v>
      </c>
      <c r="BJ250">
        <f t="shared" si="54"/>
        <v>133.11525435594652</v>
      </c>
    </row>
    <row r="251" spans="42:62" x14ac:dyDescent="0.25">
      <c r="AP251" s="1">
        <v>246</v>
      </c>
      <c r="AQ251" s="7">
        <f t="shared" si="43"/>
        <v>61746.74904996025</v>
      </c>
      <c r="AR251" s="7">
        <f t="shared" si="44"/>
        <v>-51226.775397362864</v>
      </c>
      <c r="AS251" s="7"/>
      <c r="AT251" s="7">
        <f t="shared" si="45"/>
        <v>371.2447833787586</v>
      </c>
      <c r="AU251" s="7">
        <f t="shared" si="46"/>
        <v>-71.203647398588274</v>
      </c>
      <c r="AV251" s="7"/>
      <c r="AX251" s="7">
        <f t="shared" si="47"/>
        <v>-56.785528092372012</v>
      </c>
      <c r="AY251" s="7">
        <f t="shared" si="48"/>
        <v>79.882410726411891</v>
      </c>
      <c r="BB251" s="7">
        <f t="shared" si="49"/>
        <v>-13.683772042003632</v>
      </c>
      <c r="BC251" s="7">
        <f t="shared" si="50"/>
        <v>10.248887535483922</v>
      </c>
      <c r="BF251" s="7">
        <f t="shared" si="51"/>
        <v>-77.75856383493101</v>
      </c>
      <c r="BG251" s="7">
        <f t="shared" si="52"/>
        <v>42.203434135212404</v>
      </c>
      <c r="BI251" s="10">
        <f t="shared" si="53"/>
        <v>-148.22786396930664</v>
      </c>
      <c r="BJ251">
        <f t="shared" si="54"/>
        <v>132.33473239710821</v>
      </c>
    </row>
    <row r="252" spans="42:62" x14ac:dyDescent="0.25">
      <c r="AP252" s="1">
        <v>247</v>
      </c>
      <c r="AQ252" s="7">
        <f t="shared" si="43"/>
        <v>61913.842958653469</v>
      </c>
      <c r="AR252" s="7">
        <f t="shared" si="44"/>
        <v>-51245.835379512522</v>
      </c>
      <c r="AS252" s="7"/>
      <c r="AT252" s="7">
        <f t="shared" si="45"/>
        <v>297.13085139410526</v>
      </c>
      <c r="AU252" s="7">
        <f t="shared" si="46"/>
        <v>-5.0362812000341677</v>
      </c>
      <c r="AV252" s="7"/>
      <c r="AX252" s="7">
        <f t="shared" si="47"/>
        <v>-56.7517099712909</v>
      </c>
      <c r="AY252" s="7">
        <f t="shared" si="48"/>
        <v>79.542374932503705</v>
      </c>
      <c r="BB252" s="7">
        <f t="shared" si="49"/>
        <v>-13.653698454193821</v>
      </c>
      <c r="BC252" s="7">
        <f t="shared" si="50"/>
        <v>10.208679481307611</v>
      </c>
      <c r="BF252" s="7">
        <f t="shared" si="51"/>
        <v>-77.482996124982023</v>
      </c>
      <c r="BG252" s="7">
        <f t="shared" si="52"/>
        <v>41.970925567566901</v>
      </c>
      <c r="BI252" s="10">
        <f t="shared" si="53"/>
        <v>-147.88840455046673</v>
      </c>
      <c r="BJ252">
        <f t="shared" si="54"/>
        <v>131.72197998137821</v>
      </c>
    </row>
    <row r="253" spans="42:62" x14ac:dyDescent="0.25">
      <c r="AP253" s="1">
        <v>248</v>
      </c>
      <c r="AQ253" s="7">
        <f t="shared" si="43"/>
        <v>62043.922333781717</v>
      </c>
      <c r="AR253" s="7">
        <f t="shared" si="44"/>
        <v>-51231.888272614866</v>
      </c>
      <c r="AS253" s="7"/>
      <c r="AT253" s="7">
        <f t="shared" si="45"/>
        <v>223.18664911887191</v>
      </c>
      <c r="AU253" s="7">
        <f t="shared" si="46"/>
        <v>60.824708790654938</v>
      </c>
      <c r="AV253" s="7"/>
      <c r="AX253" s="7">
        <f t="shared" si="47"/>
        <v>-56.778825764526182</v>
      </c>
      <c r="AY253" s="7">
        <f t="shared" si="48"/>
        <v>79.315331823192196</v>
      </c>
      <c r="BB253" s="7">
        <f t="shared" si="49"/>
        <v>-13.637177134643791</v>
      </c>
      <c r="BC253" s="7">
        <f t="shared" si="50"/>
        <v>10.177842342363753</v>
      </c>
      <c r="BF253" s="7">
        <f t="shared" si="51"/>
        <v>-77.310290701908031</v>
      </c>
      <c r="BG253" s="7">
        <f t="shared" si="52"/>
        <v>41.780040867679155</v>
      </c>
      <c r="BI253" s="10">
        <f t="shared" si="53"/>
        <v>-147.726293601078</v>
      </c>
      <c r="BJ253">
        <f t="shared" si="54"/>
        <v>131.27321503323509</v>
      </c>
    </row>
    <row r="254" spans="42:62" x14ac:dyDescent="0.25">
      <c r="AP254" s="1">
        <v>249</v>
      </c>
      <c r="AQ254" s="7">
        <f t="shared" si="43"/>
        <v>62137.049871641015</v>
      </c>
      <c r="AR254" s="7">
        <f t="shared" si="44"/>
        <v>-51185.066766340387</v>
      </c>
      <c r="AS254" s="7"/>
      <c r="AT254" s="7">
        <f t="shared" si="45"/>
        <v>149.32350231833291</v>
      </c>
      <c r="AU254" s="7">
        <f t="shared" si="46"/>
        <v>126.46131630727248</v>
      </c>
      <c r="AV254" s="7"/>
      <c r="AX254" s="7">
        <f t="shared" si="47"/>
        <v>-56.867016451711955</v>
      </c>
      <c r="AY254" s="7">
        <f t="shared" si="48"/>
        <v>79.199769975290039</v>
      </c>
      <c r="BB254" s="7">
        <f t="shared" si="49"/>
        <v>-13.634088220440002</v>
      </c>
      <c r="BC254" s="7">
        <f t="shared" si="50"/>
        <v>10.156227906522572</v>
      </c>
      <c r="BF254" s="7">
        <f t="shared" si="51"/>
        <v>-77.23904048521895</v>
      </c>
      <c r="BG254" s="7">
        <f t="shared" si="52"/>
        <v>41.629768395681239</v>
      </c>
      <c r="BI254" s="10">
        <f t="shared" si="53"/>
        <v>-147.7401451573709</v>
      </c>
      <c r="BJ254">
        <f t="shared" si="54"/>
        <v>130.98576627749384</v>
      </c>
    </row>
    <row r="255" spans="42:62" x14ac:dyDescent="0.25">
      <c r="AP255" s="1">
        <v>250</v>
      </c>
      <c r="AQ255" s="7">
        <f t="shared" si="43"/>
        <v>62193.24410465551</v>
      </c>
      <c r="AR255" s="7">
        <f t="shared" si="44"/>
        <v>-51105.462887402064</v>
      </c>
      <c r="AS255" s="7"/>
      <c r="AT255" s="7">
        <f t="shared" si="45"/>
        <v>75.453429739647461</v>
      </c>
      <c r="AU255" s="7">
        <f t="shared" si="46"/>
        <v>191.9541994460194</v>
      </c>
      <c r="AV255" s="7"/>
      <c r="AX255" s="7">
        <f t="shared" si="47"/>
        <v>-57.016762707621226</v>
      </c>
      <c r="AY255" s="7">
        <f t="shared" si="48"/>
        <v>79.194995353595303</v>
      </c>
      <c r="BB255" s="7">
        <f t="shared" si="49"/>
        <v>-13.6443877303167</v>
      </c>
      <c r="BC255" s="7">
        <f t="shared" si="50"/>
        <v>10.143736716543188</v>
      </c>
      <c r="BF255" s="7">
        <f t="shared" si="51"/>
        <v>-77.268545276400005</v>
      </c>
      <c r="BG255" s="7">
        <f t="shared" si="52"/>
        <v>41.519301992554226</v>
      </c>
      <c r="BI255" s="10">
        <f t="shared" si="53"/>
        <v>-147.92969571433792</v>
      </c>
      <c r="BJ255">
        <f t="shared" si="54"/>
        <v>130.85803406269272</v>
      </c>
    </row>
    <row r="256" spans="42:62" x14ac:dyDescent="0.25">
      <c r="AP256" s="1">
        <v>251</v>
      </c>
      <c r="AQ256" s="7">
        <f t="shared" si="43"/>
        <v>62212.479607561043</v>
      </c>
      <c r="AR256" s="7">
        <f t="shared" si="44"/>
        <v>-50993.128533421223</v>
      </c>
      <c r="AS256" s="7"/>
      <c r="AT256" s="7">
        <f t="shared" si="45"/>
        <v>1.4885818824784991</v>
      </c>
      <c r="AU256" s="7">
        <f t="shared" si="46"/>
        <v>257.38321647736575</v>
      </c>
      <c r="AV256" s="7"/>
      <c r="AX256" s="7">
        <f t="shared" si="47"/>
        <v>-57.228892145463355</v>
      </c>
      <c r="AY256" s="7">
        <f t="shared" si="48"/>
        <v>79.301120787282272</v>
      </c>
      <c r="BB256" s="7">
        <f t="shared" si="49"/>
        <v>-13.6681067714034</v>
      </c>
      <c r="BC256" s="7">
        <f t="shared" si="50"/>
        <v>10.140316860605445</v>
      </c>
      <c r="BF256" s="7">
        <f t="shared" si="51"/>
        <v>-77.398798474066069</v>
      </c>
      <c r="BG256" s="7">
        <f t="shared" si="52"/>
        <v>41.448030456177896</v>
      </c>
      <c r="BI256" s="10">
        <f t="shared" si="53"/>
        <v>-148.29579739093282</v>
      </c>
      <c r="BJ256">
        <f t="shared" si="54"/>
        <v>130.8894681040656</v>
      </c>
    </row>
    <row r="257" spans="42:62" x14ac:dyDescent="0.25">
      <c r="AP257" s="1">
        <v>252</v>
      </c>
      <c r="AQ257" s="7">
        <f t="shared" si="43"/>
        <v>62194.68692382842</v>
      </c>
      <c r="AR257" s="7">
        <f t="shared" si="44"/>
        <v>-50848.075741669534</v>
      </c>
      <c r="AS257" s="7"/>
      <c r="AT257" s="7">
        <f t="shared" si="45"/>
        <v>-72.65931681298791</v>
      </c>
      <c r="AU257" s="7">
        <f t="shared" si="46"/>
        <v>322.82795052939855</v>
      </c>
      <c r="AV257" s="7"/>
      <c r="AX257" s="7">
        <f t="shared" si="47"/>
        <v>-57.504590948524232</v>
      </c>
      <c r="AY257" s="7">
        <f t="shared" si="48"/>
        <v>79.51906917132267</v>
      </c>
      <c r="BB257" s="7">
        <f t="shared" si="49"/>
        <v>-13.705351782225348</v>
      </c>
      <c r="BC257" s="7">
        <f t="shared" si="50"/>
        <v>10.145963376974812</v>
      </c>
      <c r="BF257" s="7">
        <f t="shared" si="51"/>
        <v>-77.630485023855655</v>
      </c>
      <c r="BG257" s="7">
        <f t="shared" si="52"/>
        <v>41.415529030627184</v>
      </c>
      <c r="BI257" s="10">
        <f t="shared" si="53"/>
        <v>-148.84042775460523</v>
      </c>
      <c r="BJ257">
        <f t="shared" si="54"/>
        <v>131.08056157892466</v>
      </c>
    </row>
    <row r="258" spans="42:62" x14ac:dyDescent="0.25">
      <c r="AP258" s="1">
        <v>253</v>
      </c>
      <c r="AQ258" s="7">
        <f t="shared" si="43"/>
        <v>62139.752211952597</v>
      </c>
      <c r="AR258" s="7">
        <f t="shared" si="44"/>
        <v>-50670.276696207467</v>
      </c>
      <c r="AS258" s="7"/>
      <c r="AT258" s="7">
        <f t="shared" si="45"/>
        <v>-147.07953069029054</v>
      </c>
      <c r="AU258" s="7">
        <f t="shared" si="46"/>
        <v>388.36823131886086</v>
      </c>
      <c r="AV258" s="7"/>
      <c r="AX258" s="7">
        <f t="shared" si="47"/>
        <v>-57.845420194759846</v>
      </c>
      <c r="AY258" s="7">
        <f t="shared" si="48"/>
        <v>79.850590516361549</v>
      </c>
      <c r="BB258" s="7">
        <f t="shared" si="49"/>
        <v>-13.756305815217779</v>
      </c>
      <c r="BC258" s="7">
        <f t="shared" si="50"/>
        <v>10.160718259452743</v>
      </c>
      <c r="BF258" s="7">
        <f t="shared" si="51"/>
        <v>-77.964990503317395</v>
      </c>
      <c r="BG258" s="7">
        <f t="shared" si="52"/>
        <v>41.421552690440585</v>
      </c>
      <c r="BI258" s="10">
        <f t="shared" si="53"/>
        <v>-149.56671651329501</v>
      </c>
      <c r="BJ258">
        <f t="shared" si="54"/>
        <v>131.43286146625488</v>
      </c>
    </row>
    <row r="259" spans="42:62" x14ac:dyDescent="0.25">
      <c r="AP259" s="1">
        <v>254</v>
      </c>
      <c r="AQ259" s="7">
        <f t="shared" si="43"/>
        <v>62047.51660704329</v>
      </c>
      <c r="AR259" s="7">
        <f t="shared" si="44"/>
        <v>-50459.663472864755</v>
      </c>
      <c r="AS259" s="7"/>
      <c r="AT259" s="7">
        <f t="shared" si="45"/>
        <v>-221.86288894693803</v>
      </c>
      <c r="AU259" s="7">
        <f t="shared" si="46"/>
        <v>454.08466205198829</v>
      </c>
      <c r="AV259" s="7"/>
      <c r="AX259" s="7">
        <f t="shared" si="47"/>
        <v>-58.253337281895895</v>
      </c>
      <c r="AY259" s="7">
        <f t="shared" si="48"/>
        <v>80.298293394678339</v>
      </c>
      <c r="BB259" s="7">
        <f t="shared" si="49"/>
        <v>-13.821230888589415</v>
      </c>
      <c r="BC259" s="7">
        <f t="shared" si="50"/>
        <v>10.184671064537083</v>
      </c>
      <c r="BF259" s="7">
        <f t="shared" si="51"/>
        <v>-78.404421563093578</v>
      </c>
      <c r="BG259" s="7">
        <f t="shared" si="52"/>
        <v>41.466031019556986</v>
      </c>
      <c r="BI259" s="10">
        <f t="shared" si="53"/>
        <v>-150.47898973357889</v>
      </c>
      <c r="BJ259">
        <f t="shared" si="54"/>
        <v>131.94899547877242</v>
      </c>
    </row>
    <row r="260" spans="42:62" x14ac:dyDescent="0.25">
      <c r="AP260" s="1">
        <v>255</v>
      </c>
      <c r="AQ260" s="7">
        <f t="shared" si="43"/>
        <v>61917.775288853125</v>
      </c>
      <c r="AR260" s="7">
        <f t="shared" si="44"/>
        <v>-50216.127517403911</v>
      </c>
      <c r="AS260" s="7"/>
      <c r="AT260" s="7">
        <f t="shared" si="45"/>
        <v>-297.10238381372744</v>
      </c>
      <c r="AU260" s="7">
        <f t="shared" si="46"/>
        <v>520.05915979137444</v>
      </c>
      <c r="AV260" s="7"/>
      <c r="AX260" s="7">
        <f t="shared" si="47"/>
        <v>-58.730722979307302</v>
      </c>
      <c r="AY260" s="7">
        <f t="shared" si="48"/>
        <v>80.86569178122447</v>
      </c>
      <c r="BB260" s="7">
        <f t="shared" si="49"/>
        <v>-13.900471465091181</v>
      </c>
      <c r="BC260" s="7">
        <f t="shared" si="50"/>
        <v>10.21796013554415</v>
      </c>
      <c r="BF260" s="7">
        <f t="shared" si="51"/>
        <v>-78.951638275161997</v>
      </c>
      <c r="BG260" s="7">
        <f t="shared" si="52"/>
        <v>41.549064493021099</v>
      </c>
      <c r="BI260" s="10">
        <f t="shared" si="53"/>
        <v>-151.58283271956049</v>
      </c>
      <c r="BJ260">
        <f t="shared" si="54"/>
        <v>132.63271640978974</v>
      </c>
    </row>
    <row r="261" spans="42:62" x14ac:dyDescent="0.25">
      <c r="AP261" s="1">
        <v>256</v>
      </c>
      <c r="AQ261" s="7">
        <f t="shared" si="43"/>
        <v>61750.276242856315</v>
      </c>
      <c r="AR261" s="7">
        <f t="shared" si="44"/>
        <v>-49939.518847956999</v>
      </c>
      <c r="AS261" s="7"/>
      <c r="AT261" s="7">
        <f t="shared" si="45"/>
        <v>-372.89380017350766</v>
      </c>
      <c r="AU261" s="7">
        <f t="shared" si="46"/>
        <v>586.37551799626931</v>
      </c>
      <c r="AV261" s="7"/>
      <c r="AX261" s="7">
        <f t="shared" si="47"/>
        <v>-59.280414771268525</v>
      </c>
      <c r="AY261" s="7">
        <f t="shared" si="48"/>
        <v>81.557268789367754</v>
      </c>
      <c r="BB261" s="7">
        <f t="shared" si="49"/>
        <v>-13.994459145247587</v>
      </c>
      <c r="BC261" s="7">
        <f t="shared" si="50"/>
        <v>10.260774473857898</v>
      </c>
      <c r="BF261" s="7">
        <f t="shared" si="51"/>
        <v>-79.610299291666593</v>
      </c>
      <c r="BG261" s="7">
        <f t="shared" si="52"/>
        <v>41.670921967013832</v>
      </c>
      <c r="BI261" s="10">
        <f t="shared" si="53"/>
        <v>-152.88517320818272</v>
      </c>
      <c r="BJ261">
        <f t="shared" si="54"/>
        <v>133.4889652302395</v>
      </c>
    </row>
    <row r="262" spans="42:62" x14ac:dyDescent="0.25">
      <c r="AP262" s="1">
        <v>257</v>
      </c>
      <c r="AQ262" s="7">
        <f t="shared" ref="AQ262:AQ325" si="55">AQ261+(AT261*$R$7)+((1/2)*(BI261)*$R$7^2)</f>
        <v>61544.718696118536</v>
      </c>
      <c r="AR262" s="7">
        <f t="shared" ref="AR262:AR325" si="56">AR261+(AU261*$R$7)+((1/2)*(BJ261)*$R$7^2)</f>
        <v>-49629.644968305081</v>
      </c>
      <c r="AS262" s="7"/>
      <c r="AT262" s="7">
        <f t="shared" ref="AT262:AT325" si="57">AT261+(BI261)*$R$7</f>
        <v>-449.33638677759905</v>
      </c>
      <c r="AU262" s="7">
        <f t="shared" ref="AU262:AU325" si="58">AU261+(BJ261)*$R$7</f>
        <v>653.12000061138906</v>
      </c>
      <c r="AV262" s="7"/>
      <c r="AX262" s="7">
        <f t="shared" ref="AX262:AX325" si="59">(($R$23-AQ262)/(($R$23-AQ262)^2+($S$23-AR262)^2+$R$28^2)^(3/2))*$R$27</f>
        <v>-59.905747318972139</v>
      </c>
      <c r="AY262" s="7">
        <f t="shared" ref="AY262:AY325" si="60">(($S$23-AR262)/(($R$23-AQ262)^2+($S$23-AR262)^2+$R$28^2)^(3/2))*$R$27</f>
        <v>82.378559376636758</v>
      </c>
      <c r="BB262" s="7">
        <f t="shared" ref="BB262:BB325" si="61">(($R$32-AQ262)/(($R$32-AQ262)^2+($S$32-AR262)^2+$R$37^2)^(3/2))*$R$36</f>
        <v>-14.103718696203529</v>
      </c>
      <c r="BC262" s="7">
        <f t="shared" ref="BC262:BC325" si="62">(($S$32-AR262)/(($R$32-AQ262)^2+($S$32-AR262)^2+$R$37^2)^(3/2))*$R$36</f>
        <v>10.31335630357008</v>
      </c>
      <c r="BF262" s="7">
        <f t="shared" ref="BF262:BF325" si="63">(($R$41-AQ262)/(($R$41-AQ262)^2+($S$41-AR262)^2+$R$46^2)^(3/2))*$R$45</f>
        <v>-80.384921110124608</v>
      </c>
      <c r="BG262" s="7">
        <f t="shared" ref="BG262:BG325" si="64">(($S$41-AR262)/(($R$41-AQ262)^2+($S$41-AR262)^2+$R$46^2)^(3/2))*$R$45</f>
        <v>41.83203916693688</v>
      </c>
      <c r="BI262" s="10">
        <f t="shared" ref="BI262:BI325" si="65">BF262+BB262+AX262</f>
        <v>-154.39438712530028</v>
      </c>
      <c r="BJ262">
        <f t="shared" ref="BJ262:BJ325" si="66">BG262+BC262+AY262</f>
        <v>134.52395484714373</v>
      </c>
    </row>
    <row r="263" spans="42:62" x14ac:dyDescent="0.25">
      <c r="AP263" s="1">
        <v>258</v>
      </c>
      <c r="AQ263" s="7">
        <f t="shared" si="55"/>
        <v>61300.751204339067</v>
      </c>
      <c r="AR263" s="7">
        <f t="shared" si="56"/>
        <v>-49286.269473643493</v>
      </c>
      <c r="AS263" s="7"/>
      <c r="AT263" s="7">
        <f t="shared" si="57"/>
        <v>-526.53358034024916</v>
      </c>
      <c r="AU263" s="7">
        <f t="shared" si="58"/>
        <v>720.38197803496087</v>
      </c>
      <c r="AV263" s="7"/>
      <c r="AX263" s="7">
        <f t="shared" si="59"/>
        <v>-60.610601062030128</v>
      </c>
      <c r="AY263" s="7">
        <f t="shared" si="60"/>
        <v>83.336254777524331</v>
      </c>
      <c r="BB263" s="7">
        <f t="shared" si="61"/>
        <v>-14.228875576001196</v>
      </c>
      <c r="BC263" s="7">
        <f t="shared" si="62"/>
        <v>10.376004393680549</v>
      </c>
      <c r="BF263" s="7">
        <f t="shared" si="63"/>
        <v>-81.280953191393138</v>
      </c>
      <c r="BG263" s="7">
        <f t="shared" si="64"/>
        <v>42.033017930758</v>
      </c>
      <c r="BI263" s="10">
        <f t="shared" si="65"/>
        <v>-156.12042982942447</v>
      </c>
      <c r="BJ263">
        <f t="shared" si="66"/>
        <v>135.74527710196287</v>
      </c>
    </row>
    <row r="264" spans="42:62" x14ac:dyDescent="0.25">
      <c r="AP264" s="1">
        <v>259</v>
      </c>
      <c r="AQ264" s="7">
        <f t="shared" si="55"/>
        <v>61017.969360440264</v>
      </c>
      <c r="AR264" s="7">
        <f t="shared" si="56"/>
        <v>-48909.110324988265</v>
      </c>
      <c r="AS264" s="7"/>
      <c r="AT264" s="7">
        <f t="shared" si="57"/>
        <v>-604.59379525496138</v>
      </c>
      <c r="AU264" s="7">
        <f t="shared" si="58"/>
        <v>788.25461658594236</v>
      </c>
      <c r="AV264" s="7"/>
      <c r="AX264" s="7">
        <f t="shared" si="59"/>
        <v>-61.399460211417114</v>
      </c>
      <c r="AY264" s="7">
        <f t="shared" si="60"/>
        <v>84.438332247156879</v>
      </c>
      <c r="BB264" s="7">
        <f t="shared" si="61"/>
        <v>-14.370665158686464</v>
      </c>
      <c r="BC264" s="7">
        <f t="shared" si="62"/>
        <v>10.44907822251453</v>
      </c>
      <c r="BF264" s="7">
        <f t="shared" si="63"/>
        <v>-82.30487120810146</v>
      </c>
      <c r="BG264" s="7">
        <f t="shared" si="64"/>
        <v>42.274625910439397</v>
      </c>
      <c r="BI264" s="10">
        <f t="shared" si="65"/>
        <v>-158.07499657820503</v>
      </c>
      <c r="BJ264">
        <f t="shared" si="66"/>
        <v>137.16203638011081</v>
      </c>
    </row>
    <row r="265" spans="42:62" x14ac:dyDescent="0.25">
      <c r="AP265" s="1">
        <v>260</v>
      </c>
      <c r="AQ265" s="7">
        <f t="shared" si="55"/>
        <v>60695.913088240508</v>
      </c>
      <c r="AR265" s="7">
        <f t="shared" si="56"/>
        <v>-48497.837762147785</v>
      </c>
      <c r="AS265" s="7"/>
      <c r="AT265" s="7">
        <f t="shared" si="57"/>
        <v>-683.63129354406385</v>
      </c>
      <c r="AU265" s="7">
        <f t="shared" si="58"/>
        <v>856.83563477599773</v>
      </c>
      <c r="AV265" s="7"/>
      <c r="AX265" s="7">
        <f t="shared" si="59"/>
        <v>-62.277481664200913</v>
      </c>
      <c r="AY265" s="7">
        <f t="shared" si="60"/>
        <v>85.694214721398566</v>
      </c>
      <c r="BB265" s="7">
        <f t="shared" si="61"/>
        <v>-14.529943920382056</v>
      </c>
      <c r="BC265" s="7">
        <f t="shared" si="62"/>
        <v>10.533003092959337</v>
      </c>
      <c r="BF265" s="7">
        <f t="shared" si="63"/>
        <v>-83.464291341179006</v>
      </c>
      <c r="BG265" s="7">
        <f t="shared" si="64"/>
        <v>42.557796350651657</v>
      </c>
      <c r="BI265" s="10">
        <f t="shared" si="65"/>
        <v>-160.27171692576198</v>
      </c>
      <c r="BJ265">
        <f t="shared" si="66"/>
        <v>138.78501416500956</v>
      </c>
    </row>
    <row r="266" spans="42:62" x14ac:dyDescent="0.25">
      <c r="AP266" s="1">
        <v>261</v>
      </c>
      <c r="AQ266" s="7">
        <f t="shared" si="55"/>
        <v>60334.063476852753</v>
      </c>
      <c r="AR266" s="7">
        <f t="shared" si="56"/>
        <v>-48052.071817989163</v>
      </c>
      <c r="AS266" s="7"/>
      <c r="AT266" s="7">
        <f t="shared" si="57"/>
        <v>-763.7671520069448</v>
      </c>
      <c r="AU266" s="7">
        <f t="shared" si="58"/>
        <v>926.22814185850257</v>
      </c>
      <c r="AV266" s="7"/>
      <c r="AX266" s="7">
        <f t="shared" si="59"/>
        <v>-63.250576707134471</v>
      </c>
      <c r="AY266" s="7">
        <f t="shared" si="60"/>
        <v>87.114966281055175</v>
      </c>
      <c r="BB266" s="7">
        <f t="shared" si="61"/>
        <v>-14.707702913255451</v>
      </c>
      <c r="BC266" s="7">
        <f t="shared" si="62"/>
        <v>10.628276335653918</v>
      </c>
      <c r="BF266" s="7">
        <f t="shared" si="63"/>
        <v>-84.768109325852762</v>
      </c>
      <c r="BG266" s="7">
        <f t="shared" si="64"/>
        <v>42.883627440468018</v>
      </c>
      <c r="BI266" s="10">
        <f t="shared" si="65"/>
        <v>-162.72638894624268</v>
      </c>
      <c r="BJ266">
        <f t="shared" si="66"/>
        <v>140.62687005717711</v>
      </c>
    </row>
    <row r="267" spans="42:62" x14ac:dyDescent="0.25">
      <c r="AP267" s="1">
        <v>262</v>
      </c>
      <c r="AQ267" s="7">
        <f t="shared" si="55"/>
        <v>59931.839102231002</v>
      </c>
      <c r="AR267" s="7">
        <f t="shared" si="56"/>
        <v>-47571.379388302761</v>
      </c>
      <c r="AS267" s="7"/>
      <c r="AT267" s="7">
        <f t="shared" si="57"/>
        <v>-845.13034648006612</v>
      </c>
      <c r="AU267" s="7">
        <f t="shared" si="58"/>
        <v>996.54157688709108</v>
      </c>
      <c r="AV267" s="7"/>
      <c r="AX267" s="7">
        <f t="shared" si="59"/>
        <v>-64.325507785073171</v>
      </c>
      <c r="AY267" s="7">
        <f t="shared" si="60"/>
        <v>88.713530937248208</v>
      </c>
      <c r="BB267" s="7">
        <f t="shared" si="61"/>
        <v>-14.905083936842169</v>
      </c>
      <c r="BC267" s="7">
        <f t="shared" si="62"/>
        <v>10.735474771760719</v>
      </c>
      <c r="BF267" s="7">
        <f t="shared" si="63"/>
        <v>-86.226668921412568</v>
      </c>
      <c r="BG267" s="7">
        <f t="shared" si="64"/>
        <v>43.253380555062783</v>
      </c>
      <c r="BI267" s="10">
        <f t="shared" si="65"/>
        <v>-165.45726064332791</v>
      </c>
      <c r="BJ267">
        <f t="shared" si="66"/>
        <v>142.70238626407172</v>
      </c>
    </row>
    <row r="268" spans="42:62" x14ac:dyDescent="0.25">
      <c r="AP268" s="1">
        <v>263</v>
      </c>
      <c r="AQ268" s="7">
        <f t="shared" si="55"/>
        <v>59488.591771410553</v>
      </c>
      <c r="AR268" s="7">
        <f t="shared" si="56"/>
        <v>-47055.270801576211</v>
      </c>
      <c r="AS268" s="7"/>
      <c r="AT268" s="7">
        <f t="shared" si="57"/>
        <v>-927.85897680173002</v>
      </c>
      <c r="AU268" s="7">
        <f t="shared" si="58"/>
        <v>1067.8927700191271</v>
      </c>
      <c r="AV268" s="7"/>
      <c r="AX268" s="7">
        <f t="shared" si="59"/>
        <v>-65.510003107785238</v>
      </c>
      <c r="AY268" s="7">
        <f t="shared" si="60"/>
        <v>90.505024348445147</v>
      </c>
      <c r="BB268" s="7">
        <f t="shared" si="61"/>
        <v>-15.123398919317951</v>
      </c>
      <c r="BC268" s="7">
        <f t="shared" si="62"/>
        <v>10.855263649195718</v>
      </c>
      <c r="BF268" s="7">
        <f t="shared" si="63"/>
        <v>-87.851965700439749</v>
      </c>
      <c r="BG268" s="7">
        <f t="shared" si="64"/>
        <v>43.668476448680011</v>
      </c>
      <c r="BI268" s="10">
        <f t="shared" si="65"/>
        <v>-168.48536772754295</v>
      </c>
      <c r="BJ268">
        <f t="shared" si="66"/>
        <v>145.02876444632088</v>
      </c>
    </row>
    <row r="269" spans="42:62" x14ac:dyDescent="0.25">
      <c r="AP269" s="1">
        <v>264</v>
      </c>
      <c r="AQ269" s="7">
        <f t="shared" si="55"/>
        <v>59003.601612043749</v>
      </c>
      <c r="AR269" s="7">
        <f t="shared" si="56"/>
        <v>-46503.195821010857</v>
      </c>
      <c r="AS269" s="7"/>
      <c r="AT269" s="7">
        <f t="shared" si="57"/>
        <v>-1012.1016606655015</v>
      </c>
      <c r="AU269" s="7">
        <f t="shared" si="58"/>
        <v>1140.4071522422876</v>
      </c>
      <c r="AV269" s="7"/>
      <c r="AX269" s="7">
        <f t="shared" si="59"/>
        <v>-66.812892474984181</v>
      </c>
      <c r="AY269" s="7">
        <f t="shared" si="60"/>
        <v>92.507090795958206</v>
      </c>
      <c r="BB269" s="7">
        <f t="shared" si="61"/>
        <v>-15.364153151435332</v>
      </c>
      <c r="BC269" s="7">
        <f t="shared" si="62"/>
        <v>10.98840731847357</v>
      </c>
      <c r="BF269" s="7">
        <f t="shared" si="63"/>
        <v>-89.657893601073937</v>
      </c>
      <c r="BG269" s="7">
        <f t="shared" si="64"/>
        <v>44.130488095571359</v>
      </c>
      <c r="BI269" s="10">
        <f t="shared" si="65"/>
        <v>-171.83493922749346</v>
      </c>
      <c r="BJ269">
        <f t="shared" si="66"/>
        <v>147.62598621000313</v>
      </c>
    </row>
    <row r="270" spans="42:62" x14ac:dyDescent="0.25">
      <c r="AP270" s="1">
        <v>265</v>
      </c>
      <c r="AQ270" s="7">
        <f t="shared" si="55"/>
        <v>58476.07141430756</v>
      </c>
      <c r="AR270" s="7">
        <f t="shared" si="56"/>
        <v>-45914.538996613461</v>
      </c>
      <c r="AS270" s="7"/>
      <c r="AT270" s="7">
        <f t="shared" si="57"/>
        <v>-1098.0191302792482</v>
      </c>
      <c r="AU270" s="7">
        <f t="shared" si="58"/>
        <v>1214.2201453472892</v>
      </c>
      <c r="AV270" s="7"/>
      <c r="AX270" s="7">
        <f t="shared" si="59"/>
        <v>-68.244268437490035</v>
      </c>
      <c r="AY270" s="7">
        <f t="shared" si="60"/>
        <v>94.740341301949186</v>
      </c>
      <c r="BB270" s="7">
        <f t="shared" si="61"/>
        <v>-15.629073181509169</v>
      </c>
      <c r="BC270" s="7">
        <f t="shared" si="62"/>
        <v>11.135781979640411</v>
      </c>
      <c r="BF270" s="7">
        <f t="shared" si="63"/>
        <v>-91.660543664349134</v>
      </c>
      <c r="BG270" s="7">
        <f t="shared" si="64"/>
        <v>44.641128356340069</v>
      </c>
      <c r="BI270" s="10">
        <f t="shared" si="65"/>
        <v>-175.53388528334835</v>
      </c>
      <c r="BJ270">
        <f t="shared" si="66"/>
        <v>150.51725163792966</v>
      </c>
    </row>
    <row r="271" spans="42:62" x14ac:dyDescent="0.25">
      <c r="AP271" s="1">
        <v>266</v>
      </c>
      <c r="AQ271" s="7">
        <f t="shared" si="55"/>
        <v>57905.120113507517</v>
      </c>
      <c r="AR271" s="7">
        <f t="shared" si="56"/>
        <v>-45288.614267485071</v>
      </c>
      <c r="AS271" s="7"/>
      <c r="AT271" s="7">
        <f t="shared" si="57"/>
        <v>-1185.7860729209224</v>
      </c>
      <c r="AU271" s="7">
        <f t="shared" si="58"/>
        <v>1289.4787711662541</v>
      </c>
      <c r="AV271" s="7"/>
      <c r="AX271" s="7">
        <f t="shared" si="59"/>
        <v>-69.815677808285486</v>
      </c>
      <c r="AY271" s="7">
        <f t="shared" si="60"/>
        <v>97.228893474242781</v>
      </c>
      <c r="BB271" s="7">
        <f t="shared" si="61"/>
        <v>-15.920140392557453</v>
      </c>
      <c r="BC271" s="7">
        <f t="shared" si="62"/>
        <v>11.298390914048587</v>
      </c>
      <c r="BF271" s="7">
        <f t="shared" si="63"/>
        <v>-93.878566926924265</v>
      </c>
      <c r="BG271" s="7">
        <f t="shared" si="64"/>
        <v>45.202229905977404</v>
      </c>
      <c r="BI271" s="10">
        <f t="shared" si="65"/>
        <v>-179.61438512776721</v>
      </c>
      <c r="BJ271">
        <f t="shared" si="66"/>
        <v>153.72951429426877</v>
      </c>
    </row>
    <row r="272" spans="42:62" x14ac:dyDescent="0.25">
      <c r="AP272" s="1">
        <v>267</v>
      </c>
      <c r="AQ272" s="7">
        <f t="shared" si="55"/>
        <v>57289.775278906083</v>
      </c>
      <c r="AR272" s="7">
        <f t="shared" si="56"/>
        <v>-44624.658692615165</v>
      </c>
      <c r="AS272" s="7"/>
      <c r="AT272" s="7">
        <f t="shared" si="57"/>
        <v>-1275.5932654848059</v>
      </c>
      <c r="AU272" s="7">
        <f t="shared" si="58"/>
        <v>1366.3435283133886</v>
      </c>
      <c r="AV272" s="7"/>
      <c r="AX272" s="7">
        <f t="shared" si="59"/>
        <v>-71.540349618166886</v>
      </c>
      <c r="AY272" s="7">
        <f t="shared" si="60"/>
        <v>100.00103992867781</v>
      </c>
      <c r="BB272" s="7">
        <f t="shared" si="61"/>
        <v>-16.239631558145124</v>
      </c>
      <c r="BC272" s="7">
        <f t="shared" si="62"/>
        <v>11.477382719206878</v>
      </c>
      <c r="BF272" s="7">
        <f t="shared" si="63"/>
        <v>-96.333616746201017</v>
      </c>
      <c r="BG272" s="7">
        <f t="shared" si="64"/>
        <v>45.815713798181484</v>
      </c>
      <c r="BI272" s="10">
        <f t="shared" si="65"/>
        <v>-184.11359792251301</v>
      </c>
      <c r="BJ272">
        <f t="shared" si="66"/>
        <v>157.29413644606618</v>
      </c>
    </row>
    <row r="273" spans="42:62" x14ac:dyDescent="0.25">
      <c r="AP273" s="1">
        <v>268</v>
      </c>
      <c r="AQ273" s="7">
        <f t="shared" si="55"/>
        <v>56628.964446423372</v>
      </c>
      <c r="AR273" s="7">
        <f t="shared" si="56"/>
        <v>-43921.82516140271</v>
      </c>
      <c r="AS273" s="7"/>
      <c r="AT273" s="7">
        <f t="shared" si="57"/>
        <v>-1367.6500644460625</v>
      </c>
      <c r="AU273" s="7">
        <f t="shared" si="58"/>
        <v>1444.9905965364217</v>
      </c>
      <c r="AV273" s="7"/>
      <c r="AX273" s="7">
        <f t="shared" si="59"/>
        <v>-73.433466900906481</v>
      </c>
      <c r="AY273" s="7">
        <f t="shared" si="60"/>
        <v>103.0900805699076</v>
      </c>
      <c r="BB273" s="7">
        <f t="shared" si="61"/>
        <v>-16.590168033124609</v>
      </c>
      <c r="BC273" s="7">
        <f t="shared" si="62"/>
        <v>11.674073198599661</v>
      </c>
      <c r="BF273" s="7">
        <f t="shared" si="63"/>
        <v>-99.050890155847711</v>
      </c>
      <c r="BG273" s="7">
        <f t="shared" si="64"/>
        <v>46.483541511705326</v>
      </c>
      <c r="BI273" s="10">
        <f t="shared" si="65"/>
        <v>-189.07452508987882</v>
      </c>
      <c r="BJ273">
        <f t="shared" si="66"/>
        <v>161.24769528021258</v>
      </c>
    </row>
    <row r="274" spans="42:62" x14ac:dyDescent="0.25">
      <c r="AP274" s="1">
        <v>269</v>
      </c>
      <c r="AQ274" s="7">
        <f t="shared" si="55"/>
        <v>55921.505098564106</v>
      </c>
      <c r="AR274" s="7">
        <f t="shared" si="56"/>
        <v>-43179.173901224473</v>
      </c>
      <c r="AS274" s="7"/>
      <c r="AT274" s="7">
        <f t="shared" si="57"/>
        <v>-1462.187326991002</v>
      </c>
      <c r="AU274" s="7">
        <f t="shared" si="58"/>
        <v>1525.614444176528</v>
      </c>
      <c r="AV274" s="7"/>
      <c r="AX274" s="7">
        <f t="shared" si="59"/>
        <v>-75.512491205398675</v>
      </c>
      <c r="AY274" s="7">
        <f t="shared" si="60"/>
        <v>106.53536545900623</v>
      </c>
      <c r="BB274" s="7">
        <f t="shared" si="61"/>
        <v>-16.974775709130771</v>
      </c>
      <c r="BC274" s="7">
        <f t="shared" si="62"/>
        <v>11.889971730647616</v>
      </c>
      <c r="BF274" s="7">
        <f t="shared" si="63"/>
        <v>-102.05979353590406</v>
      </c>
      <c r="BG274" s="7">
        <f t="shared" si="64"/>
        <v>47.20764310924897</v>
      </c>
      <c r="BI274" s="10">
        <f t="shared" si="65"/>
        <v>-194.54706045043349</v>
      </c>
      <c r="BJ274">
        <f t="shared" si="66"/>
        <v>165.63298029890282</v>
      </c>
    </row>
    <row r="275" spans="42:62" x14ac:dyDescent="0.25">
      <c r="AP275" s="1">
        <v>270</v>
      </c>
      <c r="AQ275" s="7">
        <f t="shared" si="55"/>
        <v>55166.093052512304</v>
      </c>
      <c r="AR275" s="7">
        <f t="shared" si="56"/>
        <v>-42395.662556598851</v>
      </c>
      <c r="AS275" s="7"/>
      <c r="AT275" s="7">
        <f t="shared" si="57"/>
        <v>-1559.4608572162188</v>
      </c>
      <c r="AU275" s="7">
        <f t="shared" si="58"/>
        <v>1608.4309343259795</v>
      </c>
      <c r="AV275" s="7"/>
      <c r="AX275" s="7">
        <f t="shared" si="59"/>
        <v>-77.797550451529517</v>
      </c>
      <c r="AY275" s="7">
        <f t="shared" si="60"/>
        <v>110.38361069178181</v>
      </c>
      <c r="BB275" s="7">
        <f t="shared" si="61"/>
        <v>-17.396958494055941</v>
      </c>
      <c r="BC275" s="7">
        <f t="shared" si="62"/>
        <v>12.12681316466594</v>
      </c>
      <c r="BF275" s="7">
        <f t="shared" si="63"/>
        <v>-105.39476541561656</v>
      </c>
      <c r="BG275" s="7">
        <f t="shared" si="64"/>
        <v>47.989810906253645</v>
      </c>
      <c r="BI275" s="10">
        <f t="shared" si="65"/>
        <v>-200.589274361202</v>
      </c>
      <c r="BJ275">
        <f t="shared" si="66"/>
        <v>170.50023476270138</v>
      </c>
    </row>
    <row r="276" spans="42:62" x14ac:dyDescent="0.25">
      <c r="AP276" s="1">
        <v>271</v>
      </c>
      <c r="AQ276" s="7">
        <f t="shared" si="55"/>
        <v>54361.288964609041</v>
      </c>
      <c r="AR276" s="7">
        <f t="shared" si="56"/>
        <v>-41570.134560090526</v>
      </c>
      <c r="AS276" s="7"/>
      <c r="AT276" s="7">
        <f t="shared" si="57"/>
        <v>-1659.7554943968198</v>
      </c>
      <c r="AU276" s="7">
        <f t="shared" si="58"/>
        <v>1693.6810517073302</v>
      </c>
      <c r="AV276" s="7"/>
      <c r="AX276" s="7">
        <f t="shared" si="59"/>
        <v>-80.311902595187547</v>
      </c>
      <c r="AY276" s="7">
        <f t="shared" si="60"/>
        <v>114.69057145038262</v>
      </c>
      <c r="BB276" s="7">
        <f t="shared" si="61"/>
        <v>-17.860788918814841</v>
      </c>
      <c r="BC276" s="7">
        <f t="shared" si="62"/>
        <v>12.386596584293056</v>
      </c>
      <c r="BF276" s="7">
        <f t="shared" si="63"/>
        <v>-109.09629927725381</v>
      </c>
      <c r="BG276" s="7">
        <f t="shared" si="64"/>
        <v>48.831543289646824</v>
      </c>
      <c r="BI276" s="10">
        <f t="shared" si="65"/>
        <v>-207.26899079125619</v>
      </c>
      <c r="BJ276">
        <f t="shared" si="66"/>
        <v>175.9087113243225</v>
      </c>
    </row>
    <row r="277" spans="42:62" x14ac:dyDescent="0.25">
      <c r="AP277" s="1">
        <v>272</v>
      </c>
      <c r="AQ277" s="7">
        <f t="shared" si="55"/>
        <v>53505.50259356173</v>
      </c>
      <c r="AR277" s="7">
        <f t="shared" si="56"/>
        <v>-40701.305445321319</v>
      </c>
      <c r="AS277" s="7"/>
      <c r="AT277" s="7">
        <f t="shared" si="57"/>
        <v>-1763.389989792448</v>
      </c>
      <c r="AU277" s="7">
        <f t="shared" si="58"/>
        <v>1781.6354073694915</v>
      </c>
      <c r="AV277" s="7"/>
      <c r="AX277" s="7">
        <f t="shared" si="59"/>
        <v>-83.082489342775233</v>
      </c>
      <c r="AY277" s="7">
        <f t="shared" si="60"/>
        <v>119.52318681941767</v>
      </c>
      <c r="BB277" s="7">
        <f t="shared" si="61"/>
        <v>-18.371020617881239</v>
      </c>
      <c r="BC277" s="7">
        <f t="shared" si="62"/>
        <v>12.671632664560212</v>
      </c>
      <c r="BF277" s="7">
        <f t="shared" si="63"/>
        <v>-113.21222272476642</v>
      </c>
      <c r="BG277" s="7">
        <f t="shared" si="64"/>
        <v>49.733816263517902</v>
      </c>
      <c r="BI277" s="10">
        <f t="shared" si="65"/>
        <v>-214.66573268542288</v>
      </c>
      <c r="BJ277">
        <f t="shared" si="66"/>
        <v>181.92863574749578</v>
      </c>
    </row>
    <row r="278" spans="42:62" x14ac:dyDescent="0.25">
      <c r="AP278" s="1">
        <v>273</v>
      </c>
      <c r="AQ278" s="7">
        <f t="shared" si="55"/>
        <v>52596.974382079832</v>
      </c>
      <c r="AR278" s="7">
        <f t="shared" si="56"/>
        <v>-39787.746662168131</v>
      </c>
      <c r="AS278" s="7"/>
      <c r="AT278" s="7">
        <f t="shared" si="57"/>
        <v>-1870.7228561351594</v>
      </c>
      <c r="AU278" s="7">
        <f t="shared" si="58"/>
        <v>1872.5997252432394</v>
      </c>
      <c r="AV278" s="7"/>
      <c r="AX278" s="7">
        <f t="shared" si="59"/>
        <v>-86.140595406368149</v>
      </c>
      <c r="AY278" s="7">
        <f t="shared" si="60"/>
        <v>124.96235402583889</v>
      </c>
      <c r="BB278" s="7">
        <f t="shared" si="61"/>
        <v>-18.933228994444832</v>
      </c>
      <c r="BC278" s="7">
        <f t="shared" si="62"/>
        <v>12.984601861106237</v>
      </c>
      <c r="BF278" s="7">
        <f t="shared" si="63"/>
        <v>-117.79930761912637</v>
      </c>
      <c r="BG278" s="7">
        <f t="shared" si="64"/>
        <v>50.696749708960596</v>
      </c>
      <c r="BI278" s="10">
        <f t="shared" si="65"/>
        <v>-222.87313201993936</v>
      </c>
      <c r="BJ278">
        <f t="shared" si="66"/>
        <v>188.64370559590571</v>
      </c>
    </row>
    <row r="279" spans="42:62" x14ac:dyDescent="0.25">
      <c r="AP279" s="1">
        <v>274</v>
      </c>
      <c r="AQ279" s="7">
        <f t="shared" si="55"/>
        <v>51633.753812509756</v>
      </c>
      <c r="AR279" s="7">
        <f t="shared" si="56"/>
        <v>-38827.866336347019</v>
      </c>
      <c r="AS279" s="7"/>
      <c r="AT279" s="7">
        <f t="shared" si="57"/>
        <v>-1982.1594221451292</v>
      </c>
      <c r="AU279" s="7">
        <f t="shared" si="58"/>
        <v>1966.9215780411923</v>
      </c>
      <c r="AV279" s="7"/>
      <c r="AX279" s="7">
        <f t="shared" si="59"/>
        <v>-89.522628586865835</v>
      </c>
      <c r="AY279" s="7">
        <f t="shared" si="60"/>
        <v>131.10655143338215</v>
      </c>
      <c r="BB279" s="7">
        <f t="shared" si="61"/>
        <v>-19.553988545446323</v>
      </c>
      <c r="BC279" s="7">
        <f t="shared" si="62"/>
        <v>13.328626355928535</v>
      </c>
      <c r="BF279" s="7">
        <f t="shared" si="63"/>
        <v>-122.92531057446062</v>
      </c>
      <c r="BG279" s="7">
        <f t="shared" si="64"/>
        <v>51.719119297990076</v>
      </c>
      <c r="BI279" s="10">
        <f t="shared" si="65"/>
        <v>-232.00192770677279</v>
      </c>
      <c r="BJ279">
        <f t="shared" si="66"/>
        <v>196.15429708730076</v>
      </c>
    </row>
    <row r="280" spans="42:62" x14ac:dyDescent="0.25">
      <c r="AP280" s="1">
        <v>275</v>
      </c>
      <c r="AQ280" s="7">
        <f t="shared" si="55"/>
        <v>50613.673860473849</v>
      </c>
      <c r="AR280" s="7">
        <f t="shared" si="56"/>
        <v>-37819.886260190513</v>
      </c>
      <c r="AS280" s="7"/>
      <c r="AT280" s="7">
        <f t="shared" si="57"/>
        <v>-2098.1603859985157</v>
      </c>
      <c r="AU280" s="7">
        <f t="shared" si="58"/>
        <v>2064.9987265848426</v>
      </c>
      <c r="AV280" s="7"/>
      <c r="AX280" s="7">
        <f t="shared" si="59"/>
        <v>-93.271032457732304</v>
      </c>
      <c r="AY280" s="7">
        <f t="shared" si="60"/>
        <v>138.07661901737978</v>
      </c>
      <c r="BB280" s="7">
        <f t="shared" si="61"/>
        <v>-20.241098351749454</v>
      </c>
      <c r="BC280" s="7">
        <f t="shared" si="62"/>
        <v>13.707359609620703</v>
      </c>
      <c r="BF280" s="7">
        <f t="shared" si="63"/>
        <v>-128.67157708385403</v>
      </c>
      <c r="BG280" s="7">
        <f t="shared" si="64"/>
        <v>52.797640402961626</v>
      </c>
      <c r="BI280" s="10">
        <f t="shared" si="65"/>
        <v>-242.18370789333579</v>
      </c>
      <c r="BJ280">
        <f t="shared" si="66"/>
        <v>204.5816190299621</v>
      </c>
    </row>
    <row r="281" spans="42:62" x14ac:dyDescent="0.25">
      <c r="AP281" s="1">
        <v>276</v>
      </c>
      <c r="AQ281" s="7">
        <f t="shared" si="55"/>
        <v>49534.32070398792</v>
      </c>
      <c r="AR281" s="7">
        <f t="shared" si="56"/>
        <v>-36761.814194519342</v>
      </c>
      <c r="AS281" s="7"/>
      <c r="AT281" s="7">
        <f t="shared" si="57"/>
        <v>-2219.2522399451836</v>
      </c>
      <c r="AU281" s="7">
        <f t="shared" si="58"/>
        <v>2167.2895360998236</v>
      </c>
      <c r="AV281" s="7"/>
      <c r="AX281" s="7">
        <f t="shared" si="59"/>
        <v>-97.435332949794628</v>
      </c>
      <c r="AY281" s="7">
        <f t="shared" si="60"/>
        <v>146.02213628778716</v>
      </c>
      <c r="BB281" s="7">
        <f t="shared" si="61"/>
        <v>-21.00387153391766</v>
      </c>
      <c r="BC281" s="7">
        <f t="shared" si="62"/>
        <v>14.125098628860007</v>
      </c>
      <c r="BF281" s="7">
        <f t="shared" si="63"/>
        <v>-135.13638900449897</v>
      </c>
      <c r="BG281" s="7">
        <f t="shared" si="64"/>
        <v>53.925912168172303</v>
      </c>
      <c r="BI281" s="10">
        <f t="shared" si="65"/>
        <v>-253.57559348821124</v>
      </c>
      <c r="BJ281">
        <f t="shared" si="66"/>
        <v>214.07314708481948</v>
      </c>
    </row>
    <row r="282" spans="42:62" x14ac:dyDescent="0.25">
      <c r="AP282" s="1">
        <v>277</v>
      </c>
      <c r="AQ282" s="7">
        <f t="shared" si="55"/>
        <v>48392.997634829298</v>
      </c>
      <c r="AR282" s="7">
        <f t="shared" si="56"/>
        <v>-35651.410283083831</v>
      </c>
      <c r="AS282" s="7"/>
      <c r="AT282" s="7">
        <f t="shared" si="57"/>
        <v>-2346.0400366892891</v>
      </c>
      <c r="AU282" s="7">
        <f t="shared" si="58"/>
        <v>2274.3261096422334</v>
      </c>
      <c r="AV282" s="7"/>
      <c r="AX282" s="7">
        <f t="shared" si="59"/>
        <v>-102.07329557537459</v>
      </c>
      <c r="AY282" s="7">
        <f t="shared" si="60"/>
        <v>155.13003286825918</v>
      </c>
      <c r="BB282" s="7">
        <f t="shared" si="61"/>
        <v>-21.853510645191019</v>
      </c>
      <c r="BC282" s="7">
        <f t="shared" si="62"/>
        <v>14.586925783193088</v>
      </c>
      <c r="BF282" s="7">
        <f t="shared" si="63"/>
        <v>-142.43929896102381</v>
      </c>
      <c r="BG282" s="7">
        <f t="shared" si="64"/>
        <v>55.092849878878006</v>
      </c>
      <c r="BI282" s="10">
        <f t="shared" si="65"/>
        <v>-266.36610518158943</v>
      </c>
      <c r="BJ282">
        <f t="shared" si="66"/>
        <v>224.80980853033026</v>
      </c>
    </row>
    <row r="283" spans="42:62" x14ac:dyDescent="0.25">
      <c r="AP283" s="1">
        <v>278</v>
      </c>
      <c r="AQ283" s="7">
        <f t="shared" si="55"/>
        <v>47186.681853336959</v>
      </c>
      <c r="AR283" s="7">
        <f t="shared" si="56"/>
        <v>-34486.146002196423</v>
      </c>
      <c r="AS283" s="7"/>
      <c r="AT283" s="7">
        <f t="shared" si="57"/>
        <v>-2479.223089280084</v>
      </c>
      <c r="AU283" s="7">
        <f t="shared" si="58"/>
        <v>2386.7310139073984</v>
      </c>
      <c r="AV283" s="7"/>
      <c r="AX283" s="7">
        <f t="shared" si="59"/>
        <v>-107.25211737976601</v>
      </c>
      <c r="AY283" s="7">
        <f t="shared" si="60"/>
        <v>165.63636134943928</v>
      </c>
      <c r="BB283" s="7">
        <f t="shared" si="61"/>
        <v>-22.803599968246186</v>
      </c>
      <c r="BC283" s="7">
        <f t="shared" si="62"/>
        <v>15.098889386702124</v>
      </c>
      <c r="BF283" s="7">
        <f t="shared" si="63"/>
        <v>-150.72678275055134</v>
      </c>
      <c r="BG283" s="7">
        <f t="shared" si="64"/>
        <v>56.280338025184868</v>
      </c>
      <c r="BI283" s="10">
        <f t="shared" si="65"/>
        <v>-280.7825000985635</v>
      </c>
      <c r="BJ283">
        <f t="shared" si="66"/>
        <v>237.01558876132628</v>
      </c>
    </row>
    <row r="284" spans="42:62" x14ac:dyDescent="0.25">
      <c r="AP284" s="1">
        <v>279</v>
      </c>
      <c r="AQ284" s="7">
        <f t="shared" si="55"/>
        <v>45911.972496184593</v>
      </c>
      <c r="AR284" s="7">
        <f t="shared" si="56"/>
        <v>-33263.153546647562</v>
      </c>
      <c r="AS284" s="7"/>
      <c r="AT284" s="7">
        <f t="shared" si="57"/>
        <v>-2619.6143393293655</v>
      </c>
      <c r="AU284" s="7">
        <f t="shared" si="58"/>
        <v>2505.2388082880616</v>
      </c>
      <c r="AV284" s="7"/>
      <c r="AX284" s="7">
        <f t="shared" si="59"/>
        <v>-113.04946924903818</v>
      </c>
      <c r="AY284" s="7">
        <f t="shared" si="60"/>
        <v>177.84261209925634</v>
      </c>
      <c r="BB284" s="7">
        <f t="shared" si="61"/>
        <v>-23.870758998064179</v>
      </c>
      <c r="BC284" s="7">
        <f t="shared" si="62"/>
        <v>15.668235567795369</v>
      </c>
      <c r="BF284" s="7">
        <f t="shared" si="63"/>
        <v>-160.17965989578079</v>
      </c>
      <c r="BG284" s="7">
        <f t="shared" si="64"/>
        <v>57.45968149133607</v>
      </c>
      <c r="BI284" s="10">
        <f t="shared" si="65"/>
        <v>-297.09988814288317</v>
      </c>
      <c r="BJ284">
        <f t="shared" si="66"/>
        <v>250.97052915838776</v>
      </c>
    </row>
    <row r="285" spans="42:62" x14ac:dyDescent="0.25">
      <c r="AP285" s="1">
        <v>280</v>
      </c>
      <c r="AQ285" s="7">
        <f t="shared" si="55"/>
        <v>44565.027840502051</v>
      </c>
      <c r="AR285" s="7">
        <f t="shared" si="56"/>
        <v>-31979.16282635873</v>
      </c>
      <c r="AS285" s="7"/>
      <c r="AT285" s="7">
        <f t="shared" si="57"/>
        <v>-2768.1642834008071</v>
      </c>
      <c r="AU285" s="7">
        <f t="shared" si="58"/>
        <v>2630.7240728672555</v>
      </c>
      <c r="AV285" s="7"/>
      <c r="AX285" s="7">
        <f t="shared" si="59"/>
        <v>-119.55398428963638</v>
      </c>
      <c r="AY285" s="7">
        <f t="shared" si="60"/>
        <v>192.13864698042309</v>
      </c>
      <c r="BB285" s="7">
        <f t="shared" si="61"/>
        <v>-25.075521436407065</v>
      </c>
      <c r="BC285" s="7">
        <f t="shared" si="62"/>
        <v>16.303708563948724</v>
      </c>
      <c r="BF285" s="7">
        <f t="shared" si="63"/>
        <v>-171.02289141524628</v>
      </c>
      <c r="BG285" s="7">
        <f t="shared" si="64"/>
        <v>58.586177530627246</v>
      </c>
      <c r="BI285" s="10">
        <f t="shared" si="65"/>
        <v>-315.65239714128973</v>
      </c>
      <c r="BJ285">
        <f t="shared" si="66"/>
        <v>267.02853307499907</v>
      </c>
    </row>
    <row r="286" spans="42:62" x14ac:dyDescent="0.25">
      <c r="AP286" s="1">
        <v>281</v>
      </c>
      <c r="AQ286" s="7">
        <f t="shared" si="55"/>
        <v>43141.489149158988</v>
      </c>
      <c r="AR286" s="7">
        <f t="shared" si="56"/>
        <v>-30630.422223290727</v>
      </c>
      <c r="AS286" s="7"/>
      <c r="AT286" s="7">
        <f t="shared" si="57"/>
        <v>-2925.990481971452</v>
      </c>
      <c r="AU286" s="7">
        <f t="shared" si="58"/>
        <v>2764.2383394047552</v>
      </c>
      <c r="AV286" s="7"/>
      <c r="AX286" s="7">
        <f t="shared" si="59"/>
        <v>-126.86434296601412</v>
      </c>
      <c r="AY286" s="7">
        <f t="shared" si="60"/>
        <v>209.03542253460742</v>
      </c>
      <c r="BB286" s="7">
        <f t="shared" si="61"/>
        <v>-26.443534738759379</v>
      </c>
      <c r="BC286" s="7">
        <f t="shared" si="62"/>
        <v>17.015943019239987</v>
      </c>
      <c r="BF286" s="7">
        <f t="shared" si="63"/>
        <v>-183.53856755100244</v>
      </c>
      <c r="BG286" s="7">
        <f t="shared" si="64"/>
        <v>59.590705559432237</v>
      </c>
      <c r="BI286" s="10">
        <f t="shared" si="65"/>
        <v>-336.84644525577596</v>
      </c>
      <c r="BJ286">
        <f t="shared" si="66"/>
        <v>285.64207111327966</v>
      </c>
    </row>
    <row r="287" spans="42:62" x14ac:dyDescent="0.25">
      <c r="AP287" s="1">
        <v>282</v>
      </c>
      <c r="AQ287" s="7">
        <f t="shared" si="55"/>
        <v>41636.388102516285</v>
      </c>
      <c r="AR287" s="7">
        <f t="shared" si="56"/>
        <v>-29212.597794699188</v>
      </c>
      <c r="AS287" s="7"/>
      <c r="AT287" s="7">
        <f t="shared" si="57"/>
        <v>-3094.4137045993402</v>
      </c>
      <c r="AU287" s="7">
        <f t="shared" si="58"/>
        <v>2907.059374961395</v>
      </c>
      <c r="AV287" s="7"/>
      <c r="AX287" s="7">
        <f t="shared" si="59"/>
        <v>-135.08519850549419</v>
      </c>
      <c r="AY287" s="7">
        <f t="shared" si="60"/>
        <v>229.21240538167945</v>
      </c>
      <c r="BB287" s="7">
        <f t="shared" si="61"/>
        <v>-28.007223241159629</v>
      </c>
      <c r="BC287" s="7">
        <f t="shared" si="62"/>
        <v>17.817980808273688</v>
      </c>
      <c r="BF287" s="7">
        <f t="shared" si="63"/>
        <v>-198.08313650139249</v>
      </c>
      <c r="BG287" s="7">
        <f t="shared" si="64"/>
        <v>60.366509147711838</v>
      </c>
      <c r="BI287" s="10">
        <f t="shared" si="65"/>
        <v>-361.17555824804629</v>
      </c>
      <c r="BJ287">
        <f t="shared" si="66"/>
        <v>307.396895337665</v>
      </c>
    </row>
    <row r="288" spans="42:62" x14ac:dyDescent="0.25">
      <c r="AP288" s="1">
        <v>283</v>
      </c>
      <c r="AQ288" s="7">
        <f t="shared" si="55"/>
        <v>40044.034305435605</v>
      </c>
      <c r="AR288" s="7">
        <f t="shared" si="56"/>
        <v>-27720.643495301279</v>
      </c>
      <c r="AS288" s="7"/>
      <c r="AT288" s="7">
        <f t="shared" si="57"/>
        <v>-3275.0014837233634</v>
      </c>
      <c r="AU288" s="7">
        <f t="shared" si="58"/>
        <v>3060.7578226302276</v>
      </c>
      <c r="AV288" s="7"/>
      <c r="AX288" s="7">
        <f t="shared" si="59"/>
        <v>-144.31631061382603</v>
      </c>
      <c r="AY288" s="7">
        <f t="shared" si="60"/>
        <v>253.58733921685263</v>
      </c>
      <c r="BB288" s="7">
        <f t="shared" si="61"/>
        <v>-29.808134430666833</v>
      </c>
      <c r="BC288" s="7">
        <f t="shared" si="62"/>
        <v>18.725957126725113</v>
      </c>
      <c r="BF288" s="7">
        <f t="shared" si="63"/>
        <v>-215.11014167011984</v>
      </c>
      <c r="BG288" s="7">
        <f t="shared" si="64"/>
        <v>60.748098313190916</v>
      </c>
      <c r="BI288" s="10">
        <f t="shared" si="65"/>
        <v>-389.2345867146127</v>
      </c>
      <c r="BJ288">
        <f t="shared" si="66"/>
        <v>333.06139465676864</v>
      </c>
    </row>
    <row r="289" spans="42:62" x14ac:dyDescent="0.25">
      <c r="AP289" s="1">
        <v>284</v>
      </c>
      <c r="AQ289" s="7">
        <f t="shared" si="55"/>
        <v>38357.879240234601</v>
      </c>
      <c r="AR289" s="7">
        <f t="shared" si="56"/>
        <v>-26148.631909654068</v>
      </c>
      <c r="AS289" s="7"/>
      <c r="AT289" s="7">
        <f t="shared" si="57"/>
        <v>-3469.6187770806696</v>
      </c>
      <c r="AU289" s="7">
        <f t="shared" si="58"/>
        <v>3227.2885199586117</v>
      </c>
      <c r="AV289" s="7"/>
      <c r="AX289" s="7">
        <f t="shared" si="59"/>
        <v>-154.62730257543322</v>
      </c>
      <c r="AY289" s="7">
        <f t="shared" si="60"/>
        <v>283.42038420974853</v>
      </c>
      <c r="BB289" s="7">
        <f t="shared" si="61"/>
        <v>-31.900312719276112</v>
      </c>
      <c r="BC289" s="7">
        <f t="shared" si="62"/>
        <v>19.760016595958337</v>
      </c>
      <c r="BF289" s="7">
        <f t="shared" si="63"/>
        <v>-235.19974462461363</v>
      </c>
      <c r="BG289" s="7">
        <f t="shared" si="64"/>
        <v>60.47702110926096</v>
      </c>
      <c r="BI289" s="10">
        <f t="shared" si="65"/>
        <v>-421.72735991932291</v>
      </c>
      <c r="BJ289">
        <f t="shared" si="66"/>
        <v>363.65742191496781</v>
      </c>
    </row>
    <row r="290" spans="42:62" x14ac:dyDescent="0.25">
      <c r="AP290" s="1">
        <v>285</v>
      </c>
      <c r="AQ290" s="7">
        <f t="shared" si="55"/>
        <v>36570.353931704347</v>
      </c>
      <c r="AR290" s="7">
        <f t="shared" si="56"/>
        <v>-24489.530471935392</v>
      </c>
      <c r="AS290" s="7"/>
      <c r="AT290" s="7">
        <f t="shared" si="57"/>
        <v>-3680.4824570403312</v>
      </c>
      <c r="AU290" s="7">
        <f t="shared" si="58"/>
        <v>3409.1172309160957</v>
      </c>
      <c r="AV290" s="7"/>
      <c r="AX290" s="7">
        <f t="shared" si="59"/>
        <v>-166.00192813835591</v>
      </c>
      <c r="AY290" s="7">
        <f t="shared" si="60"/>
        <v>320.4713526620352</v>
      </c>
      <c r="BB290" s="7">
        <f t="shared" si="61"/>
        <v>-34.355253363512162</v>
      </c>
      <c r="BC290" s="7">
        <f t="shared" si="62"/>
        <v>20.945539057125266</v>
      </c>
      <c r="BF290" s="7">
        <f t="shared" si="63"/>
        <v>-259.09558852273642</v>
      </c>
      <c r="BG290" s="7">
        <f t="shared" si="64"/>
        <v>59.145406519028327</v>
      </c>
      <c r="BI290" s="10">
        <f t="shared" si="65"/>
        <v>-459.45277002460443</v>
      </c>
      <c r="BJ290">
        <f t="shared" si="66"/>
        <v>400.56229823818876</v>
      </c>
    </row>
    <row r="291" spans="42:62" x14ac:dyDescent="0.25">
      <c r="AP291" s="1">
        <v>286</v>
      </c>
      <c r="AQ291" s="7">
        <f t="shared" si="55"/>
        <v>34672.681106931108</v>
      </c>
      <c r="AR291" s="7">
        <f t="shared" si="56"/>
        <v>-22734.901569197569</v>
      </c>
      <c r="AS291" s="7"/>
      <c r="AT291" s="7">
        <f t="shared" si="57"/>
        <v>-3910.2088420526334</v>
      </c>
      <c r="AU291" s="7">
        <f t="shared" si="58"/>
        <v>3609.3983800351898</v>
      </c>
      <c r="AV291" s="7"/>
      <c r="AX291" s="7">
        <f t="shared" si="59"/>
        <v>-178.21685082359463</v>
      </c>
      <c r="AY291" s="7">
        <f t="shared" si="60"/>
        <v>367.23819616568801</v>
      </c>
      <c r="BB291" s="7">
        <f t="shared" si="61"/>
        <v>-37.269345267658707</v>
      </c>
      <c r="BC291" s="7">
        <f t="shared" si="62"/>
        <v>22.314770817606398</v>
      </c>
      <c r="BF291" s="7">
        <f t="shared" si="63"/>
        <v>-287.74669170715788</v>
      </c>
      <c r="BG291" s="7">
        <f t="shared" si="64"/>
        <v>56.101384507341997</v>
      </c>
      <c r="BI291" s="10">
        <f t="shared" si="65"/>
        <v>-503.23288779841118</v>
      </c>
      <c r="BJ291">
        <f t="shared" si="66"/>
        <v>445.65435149063637</v>
      </c>
    </row>
    <row r="292" spans="42:62" x14ac:dyDescent="0.25">
      <c r="AP292" s="1">
        <v>287</v>
      </c>
      <c r="AQ292" s="7">
        <f t="shared" si="55"/>
        <v>32654.672574929988</v>
      </c>
      <c r="AR292" s="7">
        <f t="shared" si="56"/>
        <v>-20874.495585243643</v>
      </c>
      <c r="AS292" s="7"/>
      <c r="AT292" s="7">
        <f t="shared" si="57"/>
        <v>-4161.8252859518389</v>
      </c>
      <c r="AU292" s="7">
        <f t="shared" si="58"/>
        <v>3832.2255557805079</v>
      </c>
      <c r="AV292" s="7"/>
      <c r="AX292" s="7">
        <f t="shared" si="59"/>
        <v>-190.57702651402715</v>
      </c>
      <c r="AY292" s="7">
        <f t="shared" si="60"/>
        <v>427.31465120511353</v>
      </c>
      <c r="BB292" s="7">
        <f t="shared" si="61"/>
        <v>-40.775334929959456</v>
      </c>
      <c r="BC292" s="7">
        <f t="shared" si="62"/>
        <v>23.908949324304825</v>
      </c>
      <c r="BF292" s="7">
        <f t="shared" si="63"/>
        <v>-322.34336378811173</v>
      </c>
      <c r="BG292" s="7">
        <f t="shared" si="64"/>
        <v>50.288703579554863</v>
      </c>
      <c r="BI292" s="10">
        <f t="shared" si="65"/>
        <v>-553.69572523209831</v>
      </c>
      <c r="BJ292">
        <f t="shared" si="66"/>
        <v>501.51230410897324</v>
      </c>
    </row>
    <row r="293" spans="42:62" x14ac:dyDescent="0.25">
      <c r="AP293" s="1">
        <v>288</v>
      </c>
      <c r="AQ293" s="7">
        <f t="shared" si="55"/>
        <v>30504.547966300055</v>
      </c>
      <c r="AR293" s="7">
        <f t="shared" si="56"/>
        <v>-18895.693769339767</v>
      </c>
      <c r="AS293" s="7"/>
      <c r="AT293" s="7">
        <f t="shared" si="57"/>
        <v>-4438.6731485678883</v>
      </c>
      <c r="AU293" s="7">
        <f t="shared" si="58"/>
        <v>4082.9817078349943</v>
      </c>
      <c r="AV293" s="7"/>
      <c r="AX293" s="7">
        <f t="shared" si="59"/>
        <v>-201.33019425718351</v>
      </c>
      <c r="AY293" s="7">
        <f t="shared" si="60"/>
        <v>505.89993697806921</v>
      </c>
      <c r="BB293" s="7">
        <f t="shared" si="61"/>
        <v>-45.060459264321132</v>
      </c>
      <c r="BC293" s="7">
        <f t="shared" si="62"/>
        <v>25.780910520700985</v>
      </c>
      <c r="BF293" s="7">
        <f t="shared" si="63"/>
        <v>-364.31213087079311</v>
      </c>
      <c r="BG293" s="7">
        <f t="shared" si="64"/>
        <v>39.973709837831315</v>
      </c>
      <c r="BI293" s="10">
        <f t="shared" si="65"/>
        <v>-610.70278439229776</v>
      </c>
      <c r="BJ293">
        <f t="shared" si="66"/>
        <v>571.65455733660156</v>
      </c>
    </row>
    <row r="294" spans="42:62" x14ac:dyDescent="0.25">
      <c r="AP294" s="1">
        <v>289</v>
      </c>
      <c r="AQ294" s="7">
        <f t="shared" si="55"/>
        <v>28208.873543967075</v>
      </c>
      <c r="AR294" s="7">
        <f t="shared" si="56"/>
        <v>-16782.746095755196</v>
      </c>
      <c r="AS294" s="7"/>
      <c r="AT294" s="7">
        <f t="shared" si="57"/>
        <v>-4744.0245407640368</v>
      </c>
      <c r="AU294" s="7">
        <f t="shared" si="58"/>
        <v>4368.8089865032953</v>
      </c>
      <c r="AV294" s="7"/>
      <c r="AX294" s="7">
        <f t="shared" si="59"/>
        <v>-206.35082831361751</v>
      </c>
      <c r="AY294" s="7">
        <f t="shared" si="60"/>
        <v>610.40832749468939</v>
      </c>
      <c r="BB294" s="7">
        <f t="shared" si="61"/>
        <v>-50.395919042904332</v>
      </c>
      <c r="BC294" s="7">
        <f t="shared" si="62"/>
        <v>27.997773122770866</v>
      </c>
      <c r="BF294" s="7">
        <f t="shared" si="63"/>
        <v>-415.17172865158699</v>
      </c>
      <c r="BG294" s="7">
        <f t="shared" si="64"/>
        <v>22.287590614647982</v>
      </c>
      <c r="BI294" s="10">
        <f t="shared" si="65"/>
        <v>-671.91847600810888</v>
      </c>
      <c r="BJ294">
        <f t="shared" si="66"/>
        <v>660.69369123210822</v>
      </c>
    </row>
    <row r="295" spans="42:62" x14ac:dyDescent="0.25">
      <c r="AP295" s="1">
        <v>290</v>
      </c>
      <c r="AQ295" s="7">
        <f t="shared" si="55"/>
        <v>25752.871464084041</v>
      </c>
      <c r="AR295" s="7">
        <f t="shared" si="56"/>
        <v>-14515.754891099534</v>
      </c>
      <c r="AS295" s="7"/>
      <c r="AT295" s="7">
        <f t="shared" si="57"/>
        <v>-5079.9837787680917</v>
      </c>
      <c r="AU295" s="7">
        <f t="shared" si="58"/>
        <v>4699.1558321193497</v>
      </c>
      <c r="AV295" s="7"/>
      <c r="AX295" s="7">
        <f t="shared" si="59"/>
        <v>-196.16568676118899</v>
      </c>
      <c r="AY295" s="7">
        <f t="shared" si="60"/>
        <v>750.70957255711346</v>
      </c>
      <c r="BB295" s="7">
        <f t="shared" si="61"/>
        <v>-57.186019340153308</v>
      </c>
      <c r="BC295" s="7">
        <f t="shared" si="62"/>
        <v>30.641976961848435</v>
      </c>
      <c r="BF295" s="7">
        <f t="shared" si="63"/>
        <v>-475.99590075351773</v>
      </c>
      <c r="BG295" s="7">
        <f t="shared" si="64"/>
        <v>-7.4951923453964211</v>
      </c>
      <c r="BI295" s="10">
        <f t="shared" si="65"/>
        <v>-729.34760685486003</v>
      </c>
      <c r="BJ295">
        <f t="shared" si="66"/>
        <v>773.85635717356547</v>
      </c>
    </row>
    <row r="296" spans="42:62" x14ac:dyDescent="0.25">
      <c r="AP296" s="1">
        <v>291</v>
      </c>
      <c r="AQ296" s="7">
        <f t="shared" si="55"/>
        <v>23121.711123843139</v>
      </c>
      <c r="AR296" s="7">
        <f t="shared" si="56"/>
        <v>-12069.444930393163</v>
      </c>
      <c r="AS296" s="7"/>
      <c r="AT296" s="7">
        <f t="shared" si="57"/>
        <v>-5444.6575821955221</v>
      </c>
      <c r="AU296" s="7">
        <f t="shared" si="58"/>
        <v>5086.0840107061322</v>
      </c>
      <c r="AV296" s="7"/>
      <c r="AX296" s="7">
        <f t="shared" si="59"/>
        <v>-149.45366721111984</v>
      </c>
      <c r="AY296" s="7">
        <f t="shared" si="60"/>
        <v>936.89812865601937</v>
      </c>
      <c r="BB296" s="7">
        <f t="shared" si="61"/>
        <v>-66.051539335580941</v>
      </c>
      <c r="BC296" s="7">
        <f t="shared" si="62"/>
        <v>33.804799761953063</v>
      </c>
      <c r="BF296" s="7">
        <f t="shared" si="63"/>
        <v>-545.88031175217338</v>
      </c>
      <c r="BG296" s="7">
        <f t="shared" si="64"/>
        <v>-56.886023327632813</v>
      </c>
      <c r="BI296" s="10">
        <f t="shared" si="65"/>
        <v>-761.38551829887422</v>
      </c>
      <c r="BJ296">
        <f t="shared" si="66"/>
        <v>913.81690509033956</v>
      </c>
    </row>
    <row r="297" spans="42:62" x14ac:dyDescent="0.25">
      <c r="AP297" s="1">
        <v>292</v>
      </c>
      <c r="AQ297" s="7">
        <f t="shared" si="55"/>
        <v>20304.209142958021</v>
      </c>
      <c r="AR297" s="7">
        <f t="shared" si="56"/>
        <v>-9412.1758119038041</v>
      </c>
      <c r="AS297" s="7"/>
      <c r="AT297" s="7">
        <f t="shared" si="57"/>
        <v>-5825.3503413449589</v>
      </c>
      <c r="AU297" s="7">
        <f t="shared" si="58"/>
        <v>5542.9924632513021</v>
      </c>
      <c r="AV297" s="7"/>
      <c r="AX297" s="7">
        <f t="shared" si="59"/>
        <v>-20.994095428123824</v>
      </c>
      <c r="AY297" s="7">
        <f t="shared" si="60"/>
        <v>1167.143858464869</v>
      </c>
      <c r="BB297" s="7">
        <f t="shared" si="61"/>
        <v>-77.970290420099488</v>
      </c>
      <c r="BC297" s="7">
        <f t="shared" si="62"/>
        <v>37.553720018957939</v>
      </c>
      <c r="BF297" s="7">
        <f t="shared" si="63"/>
        <v>-618.25107954058115</v>
      </c>
      <c r="BG297" s="7">
        <f t="shared" si="64"/>
        <v>-136.52583714653878</v>
      </c>
      <c r="BI297" s="10">
        <f t="shared" si="65"/>
        <v>-717.21546538880443</v>
      </c>
      <c r="BJ297">
        <f t="shared" si="66"/>
        <v>1068.1717413372883</v>
      </c>
    </row>
    <row r="298" spans="42:62" x14ac:dyDescent="0.25">
      <c r="AP298" s="1">
        <v>293</v>
      </c>
      <c r="AQ298" s="7">
        <f t="shared" si="55"/>
        <v>17301.882039111941</v>
      </c>
      <c r="AR298" s="7">
        <f t="shared" si="56"/>
        <v>-6507.1581126109913</v>
      </c>
      <c r="AS298" s="7"/>
      <c r="AT298" s="7">
        <f t="shared" si="57"/>
        <v>-6183.9580740393612</v>
      </c>
      <c r="AU298" s="7">
        <f t="shared" si="58"/>
        <v>6077.0783339199461</v>
      </c>
      <c r="AV298" s="7"/>
      <c r="AX298" s="7">
        <f t="shared" si="59"/>
        <v>267.21679921191668</v>
      </c>
      <c r="AY298" s="7">
        <f t="shared" si="60"/>
        <v>1387.2440016207397</v>
      </c>
      <c r="BB298" s="7">
        <f t="shared" si="61"/>
        <v>-94.497241673586629</v>
      </c>
      <c r="BC298" s="7">
        <f t="shared" si="62"/>
        <v>41.817753535221996</v>
      </c>
      <c r="BF298" s="7">
        <f t="shared" si="63"/>
        <v>-674.08089910645447</v>
      </c>
      <c r="BG298" s="7">
        <f t="shared" si="64"/>
        <v>-256.69862684145482</v>
      </c>
      <c r="BI298" s="10">
        <f t="shared" si="65"/>
        <v>-501.36134156812437</v>
      </c>
      <c r="BJ298">
        <f t="shared" si="66"/>
        <v>1172.3631283145069</v>
      </c>
    </row>
    <row r="299" spans="42:62" x14ac:dyDescent="0.25">
      <c r="AP299" s="1">
        <v>294</v>
      </c>
      <c r="AQ299" s="7">
        <f t="shared" si="55"/>
        <v>14147.232834396245</v>
      </c>
      <c r="AR299" s="7">
        <f t="shared" si="56"/>
        <v>-3322.0735546117048</v>
      </c>
      <c r="AS299" s="7"/>
      <c r="AT299" s="7">
        <f t="shared" si="57"/>
        <v>-6434.6387448234236</v>
      </c>
      <c r="AU299" s="7">
        <f t="shared" si="58"/>
        <v>6663.2598980772</v>
      </c>
      <c r="AV299" s="7"/>
      <c r="AX299" s="7">
        <f t="shared" si="59"/>
        <v>768.92521983390668</v>
      </c>
      <c r="AY299" s="7">
        <f t="shared" si="60"/>
        <v>1421.7830731320585</v>
      </c>
      <c r="BB299" s="7">
        <f t="shared" si="61"/>
        <v>-118.01853908143914</v>
      </c>
      <c r="BC299" s="7">
        <f t="shared" si="62"/>
        <v>46.043310919970985</v>
      </c>
      <c r="BF299" s="7">
        <f t="shared" si="63"/>
        <v>-677.07837810611011</v>
      </c>
      <c r="BG299" s="7">
        <f t="shared" si="64"/>
        <v>-412.95113323539834</v>
      </c>
      <c r="BI299" s="10">
        <f t="shared" si="65"/>
        <v>-26.171697353642571</v>
      </c>
      <c r="BJ299">
        <f t="shared" si="66"/>
        <v>1054.875250816631</v>
      </c>
    </row>
    <row r="300" spans="42:62" x14ac:dyDescent="0.25">
      <c r="AP300" s="1">
        <v>295</v>
      </c>
      <c r="AQ300" s="7">
        <f t="shared" si="55"/>
        <v>10926.641999815329</v>
      </c>
      <c r="AR300" s="7">
        <f t="shared" si="56"/>
        <v>141.41580077897405</v>
      </c>
      <c r="AS300" s="7"/>
      <c r="AT300" s="7">
        <f t="shared" si="57"/>
        <v>-6447.7245935002447</v>
      </c>
      <c r="AU300" s="7">
        <f t="shared" si="58"/>
        <v>7190.6975234855154</v>
      </c>
      <c r="AV300" s="7"/>
      <c r="AX300" s="7">
        <f t="shared" si="59"/>
        <v>1306.4414655783669</v>
      </c>
      <c r="AY300" s="7">
        <f t="shared" si="60"/>
        <v>1059.5371113557367</v>
      </c>
      <c r="BB300" s="7">
        <f t="shared" si="61"/>
        <v>-151.69443740686546</v>
      </c>
      <c r="BC300" s="7">
        <f t="shared" si="62"/>
        <v>48.356119094274021</v>
      </c>
      <c r="BF300" s="7">
        <f t="shared" si="63"/>
        <v>-592.52811406996989</v>
      </c>
      <c r="BG300" s="7">
        <f t="shared" si="64"/>
        <v>-563.31488765107156</v>
      </c>
      <c r="BI300" s="10">
        <f t="shared" si="65"/>
        <v>562.21891410153148</v>
      </c>
      <c r="BJ300">
        <f t="shared" si="66"/>
        <v>544.57834279893916</v>
      </c>
    </row>
    <row r="301" spans="42:62" x14ac:dyDescent="0.25">
      <c r="AP301" s="1">
        <v>296</v>
      </c>
      <c r="AQ301" s="7">
        <f t="shared" si="55"/>
        <v>7773.057067327898</v>
      </c>
      <c r="AR301" s="7">
        <f t="shared" si="56"/>
        <v>3804.8368553715995</v>
      </c>
      <c r="AS301" s="7"/>
      <c r="AT301" s="7">
        <f t="shared" si="57"/>
        <v>-6166.615136449479</v>
      </c>
      <c r="AU301" s="7">
        <f t="shared" si="58"/>
        <v>7462.9866948849849</v>
      </c>
      <c r="AV301" s="7"/>
      <c r="AX301" s="7">
        <f t="shared" si="59"/>
        <v>1499.7041506699979</v>
      </c>
      <c r="AY301" s="7">
        <f t="shared" si="60"/>
        <v>453.23279383221342</v>
      </c>
      <c r="BB301" s="7">
        <f t="shared" si="61"/>
        <v>-198.21521112069749</v>
      </c>
      <c r="BC301" s="7">
        <f t="shared" si="62"/>
        <v>44.214634624586132</v>
      </c>
      <c r="BF301" s="7">
        <f t="shared" si="63"/>
        <v>-436.62196041271199</v>
      </c>
      <c r="BG301" s="7">
        <f t="shared" si="64"/>
        <v>-642.80654895337523</v>
      </c>
      <c r="BI301" s="10">
        <f t="shared" si="65"/>
        <v>864.8669791365885</v>
      </c>
      <c r="BJ301">
        <f t="shared" si="66"/>
        <v>-145.35912049657571</v>
      </c>
    </row>
    <row r="302" spans="42:62" x14ac:dyDescent="0.25">
      <c r="AP302" s="1">
        <v>297</v>
      </c>
      <c r="AQ302" s="7">
        <f t="shared" si="55"/>
        <v>4797.8578714952318</v>
      </c>
      <c r="AR302" s="7">
        <f t="shared" si="56"/>
        <v>7518.1603127520193</v>
      </c>
      <c r="AS302" s="7"/>
      <c r="AT302" s="7">
        <f t="shared" si="57"/>
        <v>-5734.1816468811849</v>
      </c>
      <c r="AU302" s="7">
        <f t="shared" si="58"/>
        <v>7390.3071346366969</v>
      </c>
      <c r="AV302" s="7"/>
      <c r="AX302" s="7">
        <f t="shared" si="59"/>
        <v>1321.1554081080287</v>
      </c>
      <c r="AY302" s="7">
        <f t="shared" si="60"/>
        <v>-1.5782378037550513</v>
      </c>
      <c r="BB302" s="7">
        <f t="shared" si="61"/>
        <v>-256.74619245617697</v>
      </c>
      <c r="BC302" s="7">
        <f t="shared" si="62"/>
        <v>25.695884430404909</v>
      </c>
      <c r="BF302" s="7">
        <f t="shared" si="63"/>
        <v>-275.19213559133902</v>
      </c>
      <c r="BG302" s="7">
        <f t="shared" si="64"/>
        <v>-632.46688279513489</v>
      </c>
      <c r="BI302" s="10">
        <f t="shared" si="65"/>
        <v>789.21708006051267</v>
      </c>
      <c r="BJ302">
        <f t="shared" si="66"/>
        <v>-608.34923616848505</v>
      </c>
    </row>
    <row r="303" spans="42:62" x14ac:dyDescent="0.25">
      <c r="AP303" s="1">
        <v>298</v>
      </c>
      <c r="AQ303" s="7">
        <f t="shared" si="55"/>
        <v>2029.4191830622035</v>
      </c>
      <c r="AR303" s="7">
        <f t="shared" si="56"/>
        <v>11137.270225549306</v>
      </c>
      <c r="AS303" s="7"/>
      <c r="AT303" s="7">
        <f t="shared" si="57"/>
        <v>-5339.5731068509285</v>
      </c>
      <c r="AU303" s="7">
        <f t="shared" si="58"/>
        <v>7086.132516552454</v>
      </c>
      <c r="AV303" s="7"/>
      <c r="AX303" s="7">
        <f t="shared" si="59"/>
        <v>1032.9392844020019</v>
      </c>
      <c r="AY303" s="7">
        <f t="shared" si="60"/>
        <v>-209.06832907784766</v>
      </c>
      <c r="BB303" s="7">
        <f t="shared" si="61"/>
        <v>-319.18956823616259</v>
      </c>
      <c r="BC303" s="7">
        <f t="shared" si="62"/>
        <v>-16.478182617725587</v>
      </c>
      <c r="BF303" s="7">
        <f t="shared" si="63"/>
        <v>-153.21003721477126</v>
      </c>
      <c r="BG303" s="7">
        <f t="shared" si="64"/>
        <v>-569.67610547369259</v>
      </c>
      <c r="BI303" s="10">
        <f t="shared" si="65"/>
        <v>560.53967895106803</v>
      </c>
      <c r="BJ303">
        <f t="shared" si="66"/>
        <v>-795.22261716926585</v>
      </c>
    </row>
    <row r="304" spans="42:62" x14ac:dyDescent="0.25">
      <c r="AP304" s="1">
        <v>299</v>
      </c>
      <c r="AQ304" s="7">
        <f t="shared" si="55"/>
        <v>-570.29991049437729</v>
      </c>
      <c r="AR304" s="7">
        <f t="shared" si="56"/>
        <v>14580.933656679375</v>
      </c>
      <c r="AS304" s="7"/>
      <c r="AT304" s="7">
        <f t="shared" si="57"/>
        <v>-5059.3032673753942</v>
      </c>
      <c r="AU304" s="7">
        <f t="shared" si="58"/>
        <v>6688.5212079678213</v>
      </c>
      <c r="AV304" s="7"/>
      <c r="AX304" s="7">
        <f t="shared" si="59"/>
        <v>784.68008060042143</v>
      </c>
      <c r="AY304" s="7">
        <f t="shared" si="60"/>
        <v>-270.111161073289</v>
      </c>
      <c r="BB304" s="7">
        <f t="shared" si="61"/>
        <v>-368.61406477957803</v>
      </c>
      <c r="BC304" s="7">
        <f t="shared" si="62"/>
        <v>-86.908010308723519</v>
      </c>
      <c r="BF304" s="7">
        <f t="shared" si="63"/>
        <v>-73.937536258378813</v>
      </c>
      <c r="BG304" s="7">
        <f t="shared" si="64"/>
        <v>-493.74479323757686</v>
      </c>
      <c r="BI304" s="10">
        <f t="shared" si="65"/>
        <v>342.12847956246458</v>
      </c>
      <c r="BJ304">
        <f t="shared" si="66"/>
        <v>-850.76396461958939</v>
      </c>
    </row>
    <row r="305" spans="42:62" x14ac:dyDescent="0.25">
      <c r="AP305" s="1">
        <v>300</v>
      </c>
      <c r="AQ305" s="7">
        <f t="shared" si="55"/>
        <v>-3057.1854842367666</v>
      </c>
      <c r="AR305" s="7">
        <f t="shared" si="56"/>
        <v>17818.848765085837</v>
      </c>
      <c r="AS305" s="7"/>
      <c r="AT305" s="7">
        <f t="shared" si="57"/>
        <v>-4888.2390275941616</v>
      </c>
      <c r="AU305" s="7">
        <f t="shared" si="58"/>
        <v>6263.1392256580266</v>
      </c>
      <c r="AV305" s="7"/>
      <c r="AX305" s="7">
        <f t="shared" si="59"/>
        <v>602.0341488646402</v>
      </c>
      <c r="AY305" s="7">
        <f t="shared" si="60"/>
        <v>-269.43008017168808</v>
      </c>
      <c r="BB305" s="7">
        <f t="shared" si="61"/>
        <v>-384.39287550368869</v>
      </c>
      <c r="BC305" s="7">
        <f t="shared" si="62"/>
        <v>-177.39141021366598</v>
      </c>
      <c r="BF305" s="7">
        <f t="shared" si="63"/>
        <v>-25.069005718608381</v>
      </c>
      <c r="BG305" s="7">
        <f t="shared" si="64"/>
        <v>-423.47630239259826</v>
      </c>
      <c r="BI305" s="10">
        <f t="shared" si="65"/>
        <v>192.57226764234315</v>
      </c>
      <c r="BJ305">
        <f t="shared" si="66"/>
        <v>-870.29779277795228</v>
      </c>
    </row>
    <row r="306" spans="42:62" x14ac:dyDescent="0.25">
      <c r="AP306" s="1">
        <v>301</v>
      </c>
      <c r="AQ306" s="7">
        <f t="shared" si="55"/>
        <v>-5477.233464578554</v>
      </c>
      <c r="AR306" s="7">
        <f t="shared" si="56"/>
        <v>20841.631153817609</v>
      </c>
      <c r="AS306" s="7"/>
      <c r="AT306" s="7">
        <f t="shared" si="57"/>
        <v>-4791.9528937729901</v>
      </c>
      <c r="AU306" s="7">
        <f t="shared" si="58"/>
        <v>5827.9903292690506</v>
      </c>
      <c r="AV306" s="7"/>
      <c r="AX306" s="7">
        <f t="shared" si="59"/>
        <v>472.57317442325342</v>
      </c>
      <c r="AY306" s="7">
        <f t="shared" si="60"/>
        <v>-247.47180635250567</v>
      </c>
      <c r="BB306" s="7">
        <f t="shared" si="61"/>
        <v>-355.67226084634245</v>
      </c>
      <c r="BC306" s="7">
        <f t="shared" si="62"/>
        <v>-265.51879453101373</v>
      </c>
      <c r="BF306" s="7">
        <f t="shared" si="63"/>
        <v>4.8486996111984011</v>
      </c>
      <c r="BG306" s="7">
        <f t="shared" si="64"/>
        <v>-364.15154413721206</v>
      </c>
      <c r="BI306" s="10">
        <f t="shared" si="65"/>
        <v>121.74961318810938</v>
      </c>
      <c r="BJ306">
        <f t="shared" si="66"/>
        <v>-877.1421450207315</v>
      </c>
    </row>
    <row r="307" spans="42:62" x14ac:dyDescent="0.25">
      <c r="AP307" s="1">
        <v>302</v>
      </c>
      <c r="AQ307" s="7">
        <f t="shared" si="55"/>
        <v>-7857.991209816535</v>
      </c>
      <c r="AR307" s="7">
        <f t="shared" si="56"/>
        <v>23645.983550324541</v>
      </c>
      <c r="AS307" s="7"/>
      <c r="AT307" s="7">
        <f t="shared" si="57"/>
        <v>-4731.0780871789357</v>
      </c>
      <c r="AU307" s="7">
        <f t="shared" si="58"/>
        <v>5389.4192567586852</v>
      </c>
      <c r="AV307" s="7"/>
      <c r="AX307" s="7">
        <f t="shared" si="59"/>
        <v>380.5791407235422</v>
      </c>
      <c r="AY307" s="7">
        <f t="shared" si="60"/>
        <v>-220.57672785658937</v>
      </c>
      <c r="BB307" s="7">
        <f t="shared" si="61"/>
        <v>-291.3369804756374</v>
      </c>
      <c r="BC307" s="7">
        <f t="shared" si="62"/>
        <v>-327.42355172613082</v>
      </c>
      <c r="BF307" s="7">
        <f t="shared" si="63"/>
        <v>23.345104252064392</v>
      </c>
      <c r="BG307" s="7">
        <f t="shared" si="64"/>
        <v>-315.67434910473611</v>
      </c>
      <c r="BI307" s="10">
        <f t="shared" si="65"/>
        <v>112.58726449996919</v>
      </c>
      <c r="BJ307">
        <f t="shared" si="66"/>
        <v>-863.67462868745633</v>
      </c>
    </row>
    <row r="308" spans="42:62" x14ac:dyDescent="0.25">
      <c r="AP308" s="1">
        <v>303</v>
      </c>
      <c r="AQ308" s="7">
        <f t="shared" si="55"/>
        <v>-10209.456845343506</v>
      </c>
      <c r="AR308" s="7">
        <f t="shared" si="56"/>
        <v>26232.733850117951</v>
      </c>
      <c r="AS308" s="7"/>
      <c r="AT308" s="7">
        <f t="shared" si="57"/>
        <v>-4674.7844549289512</v>
      </c>
      <c r="AU308" s="7">
        <f t="shared" si="58"/>
        <v>4957.5819424149568</v>
      </c>
      <c r="AV308" s="7"/>
      <c r="AX308" s="7">
        <f t="shared" si="59"/>
        <v>314.1565485800154</v>
      </c>
      <c r="AY308" s="7">
        <f t="shared" si="60"/>
        <v>-194.8069123503025</v>
      </c>
      <c r="BB308" s="7">
        <f t="shared" si="61"/>
        <v>-213.07892886649122</v>
      </c>
      <c r="BC308" s="7">
        <f t="shared" si="62"/>
        <v>-353.28515351192715</v>
      </c>
      <c r="BF308" s="7">
        <f t="shared" si="63"/>
        <v>34.9208304684118</v>
      </c>
      <c r="BG308" s="7">
        <f t="shared" si="64"/>
        <v>-276.39758832365743</v>
      </c>
      <c r="BI308" s="10">
        <f t="shared" si="65"/>
        <v>135.99845018193597</v>
      </c>
      <c r="BJ308">
        <f t="shared" si="66"/>
        <v>-824.48965418588705</v>
      </c>
    </row>
    <row r="309" spans="42:62" x14ac:dyDescent="0.25">
      <c r="AP309" s="1">
        <v>304</v>
      </c>
      <c r="AQ309" s="7">
        <f t="shared" si="55"/>
        <v>-12529.849266535239</v>
      </c>
      <c r="AR309" s="7">
        <f t="shared" si="56"/>
        <v>28608.463614552194</v>
      </c>
      <c r="AS309" s="7"/>
      <c r="AT309" s="7">
        <f t="shared" si="57"/>
        <v>-4606.785229837983</v>
      </c>
      <c r="AU309" s="7">
        <f t="shared" si="58"/>
        <v>4545.3371153220132</v>
      </c>
      <c r="AV309" s="7"/>
      <c r="AX309" s="7">
        <f t="shared" si="59"/>
        <v>265.19924645626423</v>
      </c>
      <c r="AY309" s="7">
        <f t="shared" si="60"/>
        <v>-172.08652270601044</v>
      </c>
      <c r="BB309" s="7">
        <f t="shared" si="61"/>
        <v>-140.03756063404273</v>
      </c>
      <c r="BC309" s="7">
        <f t="shared" si="62"/>
        <v>-348.83952743488823</v>
      </c>
      <c r="BF309" s="7">
        <f t="shared" si="63"/>
        <v>42.217380262620154</v>
      </c>
      <c r="BG309" s="7">
        <f t="shared" si="64"/>
        <v>-244.49826628884341</v>
      </c>
      <c r="BI309" s="10">
        <f t="shared" si="65"/>
        <v>167.37906608484167</v>
      </c>
      <c r="BJ309">
        <f t="shared" si="66"/>
        <v>-765.42431642974213</v>
      </c>
    </row>
    <row r="310" spans="42:62" x14ac:dyDescent="0.25">
      <c r="AP310" s="1">
        <v>305</v>
      </c>
      <c r="AQ310" s="7">
        <f t="shared" si="55"/>
        <v>-14812.319498193625</v>
      </c>
      <c r="AR310" s="7">
        <f t="shared" si="56"/>
        <v>30785.454132659484</v>
      </c>
      <c r="AS310" s="7"/>
      <c r="AT310" s="7">
        <f t="shared" si="57"/>
        <v>-4523.0956967955626</v>
      </c>
      <c r="AU310" s="7">
        <f t="shared" si="58"/>
        <v>4162.6249571071421</v>
      </c>
      <c r="AV310" s="7"/>
      <c r="AX310" s="7">
        <f t="shared" si="59"/>
        <v>228.31179664956127</v>
      </c>
      <c r="AY310" s="7">
        <f t="shared" si="60"/>
        <v>-152.71443975757768</v>
      </c>
      <c r="BB310" s="7">
        <f t="shared" si="61"/>
        <v>-81.383843040310865</v>
      </c>
      <c r="BC310" s="7">
        <f t="shared" si="62"/>
        <v>-326.08024647333559</v>
      </c>
      <c r="BF310" s="7">
        <f t="shared" si="63"/>
        <v>46.803774273465194</v>
      </c>
      <c r="BG310" s="7">
        <f t="shared" si="64"/>
        <v>-218.39199800083827</v>
      </c>
      <c r="BI310" s="10">
        <f t="shared" si="65"/>
        <v>193.7317278827156</v>
      </c>
      <c r="BJ310">
        <f t="shared" si="66"/>
        <v>-697.18668423175154</v>
      </c>
    </row>
    <row r="311" spans="42:62" x14ac:dyDescent="0.25">
      <c r="AP311" s="1">
        <v>306</v>
      </c>
      <c r="AQ311" s="7">
        <f t="shared" si="55"/>
        <v>-17049.650880606066</v>
      </c>
      <c r="AR311" s="7">
        <f t="shared" si="56"/>
        <v>32779.618275684086</v>
      </c>
      <c r="AS311" s="7"/>
      <c r="AT311" s="7">
        <f t="shared" si="57"/>
        <v>-4426.2298328542047</v>
      </c>
      <c r="AU311" s="7">
        <f t="shared" si="58"/>
        <v>3814.0316149912665</v>
      </c>
      <c r="AV311" s="7"/>
      <c r="AX311" s="7">
        <f t="shared" si="59"/>
        <v>199.90487716657634</v>
      </c>
      <c r="AY311" s="7">
        <f t="shared" si="60"/>
        <v>-136.39855885562125</v>
      </c>
      <c r="BB311" s="7">
        <f t="shared" si="61"/>
        <v>-38.26807405891109</v>
      </c>
      <c r="BC311" s="7">
        <f t="shared" si="62"/>
        <v>-295.46744603115854</v>
      </c>
      <c r="BF311" s="7">
        <f t="shared" si="63"/>
        <v>49.634690561214306</v>
      </c>
      <c r="BG311" s="7">
        <f t="shared" si="64"/>
        <v>-196.81288626075428</v>
      </c>
      <c r="BI311" s="10">
        <f t="shared" si="65"/>
        <v>211.27149366887954</v>
      </c>
      <c r="BJ311">
        <f t="shared" si="66"/>
        <v>-628.67889114753405</v>
      </c>
    </row>
    <row r="312" spans="42:62" x14ac:dyDescent="0.25">
      <c r="AP312" s="1">
        <v>307</v>
      </c>
      <c r="AQ312" s="7">
        <f t="shared" si="55"/>
        <v>-19236.356860324559</v>
      </c>
      <c r="AR312" s="7">
        <f t="shared" si="56"/>
        <v>34608.049221786277</v>
      </c>
      <c r="AS312" s="7"/>
      <c r="AT312" s="7">
        <f t="shared" si="57"/>
        <v>-4320.5940860197652</v>
      </c>
      <c r="AU312" s="7">
        <f t="shared" si="58"/>
        <v>3499.6921694174994</v>
      </c>
      <c r="AV312" s="7"/>
      <c r="AX312" s="7">
        <f t="shared" si="59"/>
        <v>177.57158633757049</v>
      </c>
      <c r="AY312" s="7">
        <f t="shared" si="60"/>
        <v>-122.6826262174463</v>
      </c>
      <c r="BB312" s="7">
        <f t="shared" si="61"/>
        <v>-8.1786717971687715</v>
      </c>
      <c r="BC312" s="7">
        <f t="shared" si="62"/>
        <v>-263.55393991898234</v>
      </c>
      <c r="BF312" s="7">
        <f t="shared" si="63"/>
        <v>51.30705343042888</v>
      </c>
      <c r="BG312" s="7">
        <f t="shared" si="64"/>
        <v>-178.78470292458715</v>
      </c>
      <c r="BI312" s="10">
        <f t="shared" si="65"/>
        <v>220.69996797083058</v>
      </c>
      <c r="BJ312">
        <f t="shared" si="66"/>
        <v>-565.0212690610158</v>
      </c>
    </row>
    <row r="313" spans="42:62" x14ac:dyDescent="0.25">
      <c r="AP313" s="1">
        <v>308</v>
      </c>
      <c r="AQ313" s="7">
        <f t="shared" si="55"/>
        <v>-21369.066407338087</v>
      </c>
      <c r="AR313" s="7">
        <f t="shared" si="56"/>
        <v>36287.267647862398</v>
      </c>
      <c r="AS313" s="7"/>
      <c r="AT313" s="7">
        <f t="shared" si="57"/>
        <v>-4210.2441020343504</v>
      </c>
      <c r="AU313" s="7">
        <f t="shared" si="58"/>
        <v>3217.1815348869914</v>
      </c>
      <c r="AV313" s="7"/>
      <c r="AX313" s="7">
        <f t="shared" si="59"/>
        <v>159.67693552438229</v>
      </c>
      <c r="AY313" s="7">
        <f t="shared" si="60"/>
        <v>-111.11352223591632</v>
      </c>
      <c r="BB313" s="7">
        <f t="shared" si="61"/>
        <v>12.167567965546123</v>
      </c>
      <c r="BC313" s="7">
        <f t="shared" si="62"/>
        <v>-233.62790440221579</v>
      </c>
      <c r="BF313" s="7">
        <f t="shared" si="63"/>
        <v>52.203948599466997</v>
      </c>
      <c r="BG313" s="7">
        <f t="shared" si="64"/>
        <v>-163.56448299921766</v>
      </c>
      <c r="BI313" s="10">
        <f t="shared" si="65"/>
        <v>224.04845208939543</v>
      </c>
      <c r="BJ313">
        <f t="shared" si="66"/>
        <v>-508.30590963734977</v>
      </c>
    </row>
    <row r="314" spans="42:62" x14ac:dyDescent="0.25">
      <c r="AP314" s="1">
        <v>309</v>
      </c>
      <c r="AQ314" s="7">
        <f t="shared" si="55"/>
        <v>-23446.182401844086</v>
      </c>
      <c r="AR314" s="7">
        <f t="shared" si="56"/>
        <v>37832.320176601221</v>
      </c>
      <c r="AS314" s="7"/>
      <c r="AT314" s="7">
        <f t="shared" si="57"/>
        <v>-4098.2198759896528</v>
      </c>
      <c r="AU314" s="7">
        <f t="shared" si="58"/>
        <v>2963.0285800683164</v>
      </c>
      <c r="AV314" s="7"/>
      <c r="AX314" s="7">
        <f t="shared" si="59"/>
        <v>145.09207103292928</v>
      </c>
      <c r="AY314" s="7">
        <f t="shared" si="60"/>
        <v>-101.29725813309153</v>
      </c>
      <c r="BB314" s="7">
        <f t="shared" si="61"/>
        <v>25.627145486998177</v>
      </c>
      <c r="BC314" s="7">
        <f t="shared" si="62"/>
        <v>-206.97189969538476</v>
      </c>
      <c r="BF314" s="7">
        <f t="shared" si="63"/>
        <v>52.576989544176428</v>
      </c>
      <c r="BG314" s="7">
        <f t="shared" si="64"/>
        <v>-150.58749203531931</v>
      </c>
      <c r="BI314" s="10">
        <f t="shared" si="65"/>
        <v>223.2962060641039</v>
      </c>
      <c r="BJ314">
        <f t="shared" si="66"/>
        <v>-458.85664986379561</v>
      </c>
    </row>
    <row r="315" spans="42:62" x14ac:dyDescent="0.25">
      <c r="AP315" s="1">
        <v>310</v>
      </c>
      <c r="AQ315" s="7">
        <f t="shared" si="55"/>
        <v>-25467.380314080896</v>
      </c>
      <c r="AR315" s="7">
        <f t="shared" si="56"/>
        <v>39256.47738540241</v>
      </c>
      <c r="AS315" s="7"/>
      <c r="AT315" s="7">
        <f t="shared" si="57"/>
        <v>-3986.5717729576008</v>
      </c>
      <c r="AU315" s="7">
        <f t="shared" si="58"/>
        <v>2733.6002551364186</v>
      </c>
      <c r="AV315" s="7"/>
      <c r="AX315" s="7">
        <f t="shared" si="59"/>
        <v>133.02331156407996</v>
      </c>
      <c r="AY315" s="7">
        <f t="shared" si="60"/>
        <v>-92.909504709419011</v>
      </c>
      <c r="BB315" s="7">
        <f t="shared" si="61"/>
        <v>34.353459279753082</v>
      </c>
      <c r="BC315" s="7">
        <f t="shared" si="62"/>
        <v>-183.82866140479862</v>
      </c>
      <c r="BF315" s="7">
        <f t="shared" si="63"/>
        <v>52.594766702466572</v>
      </c>
      <c r="BG315" s="7">
        <f t="shared" si="64"/>
        <v>-139.42217940904257</v>
      </c>
      <c r="BI315" s="10">
        <f t="shared" si="65"/>
        <v>219.9715375462996</v>
      </c>
      <c r="BJ315">
        <f t="shared" si="66"/>
        <v>-416.16034552326022</v>
      </c>
    </row>
    <row r="316" spans="42:62" x14ac:dyDescent="0.25">
      <c r="AP316" s="1">
        <v>311</v>
      </c>
      <c r="AQ316" s="7">
        <f t="shared" si="55"/>
        <v>-27433.169758366406</v>
      </c>
      <c r="AR316" s="7">
        <f t="shared" si="56"/>
        <v>40571.257469780212</v>
      </c>
      <c r="AS316" s="7"/>
      <c r="AT316" s="7">
        <f t="shared" si="57"/>
        <v>-3876.5860041844512</v>
      </c>
      <c r="AU316" s="7">
        <f t="shared" si="58"/>
        <v>2525.5200823747887</v>
      </c>
      <c r="AV316" s="7"/>
      <c r="AX316" s="7">
        <f t="shared" si="59"/>
        <v>122.90205267514894</v>
      </c>
      <c r="AY316" s="7">
        <f t="shared" si="60"/>
        <v>-85.689517447174751</v>
      </c>
      <c r="BB316" s="7">
        <f t="shared" si="61"/>
        <v>39.868982041403257</v>
      </c>
      <c r="BC316" s="7">
        <f t="shared" si="62"/>
        <v>-163.97377628486299</v>
      </c>
      <c r="BF316" s="7">
        <f t="shared" si="63"/>
        <v>52.372165009240462</v>
      </c>
      <c r="BG316" s="7">
        <f t="shared" si="64"/>
        <v>-129.73588205888259</v>
      </c>
      <c r="BI316" s="10">
        <f t="shared" si="65"/>
        <v>215.14319972579267</v>
      </c>
      <c r="BJ316">
        <f t="shared" si="66"/>
        <v>-379.39917579092031</v>
      </c>
    </row>
    <row r="317" spans="42:62" x14ac:dyDescent="0.25">
      <c r="AP317" s="1">
        <v>312</v>
      </c>
      <c r="AQ317" s="7">
        <f t="shared" si="55"/>
        <v>-29344.569860492906</v>
      </c>
      <c r="AR317" s="7">
        <f t="shared" si="56"/>
        <v>41786.592613993744</v>
      </c>
      <c r="AS317" s="7"/>
      <c r="AT317" s="7">
        <f t="shared" si="57"/>
        <v>-3769.014404321555</v>
      </c>
      <c r="AU317" s="7">
        <f t="shared" si="58"/>
        <v>2335.8204944793283</v>
      </c>
      <c r="AV317" s="7"/>
      <c r="AX317" s="7">
        <f t="shared" si="59"/>
        <v>114.31333208075546</v>
      </c>
      <c r="AY317" s="7">
        <f t="shared" si="60"/>
        <v>-79.429502749381001</v>
      </c>
      <c r="BB317" s="7">
        <f t="shared" si="61"/>
        <v>43.218783158755159</v>
      </c>
      <c r="BC317" s="7">
        <f t="shared" si="62"/>
        <v>-147.01349276096269</v>
      </c>
      <c r="BF317" s="7">
        <f t="shared" si="63"/>
        <v>51.988582507103914</v>
      </c>
      <c r="BG317" s="7">
        <f t="shared" si="64"/>
        <v>-121.26952631851253</v>
      </c>
      <c r="BI317" s="10">
        <f t="shared" si="65"/>
        <v>209.52069774661453</v>
      </c>
      <c r="BJ317">
        <f t="shared" si="66"/>
        <v>-347.71252182885627</v>
      </c>
    </row>
    <row r="318" spans="42:62" x14ac:dyDescent="0.25">
      <c r="AP318" s="1">
        <v>313</v>
      </c>
      <c r="AQ318" s="7">
        <f t="shared" si="55"/>
        <v>-31202.886975435358</v>
      </c>
      <c r="AR318" s="7">
        <f t="shared" si="56"/>
        <v>42911.038796004803</v>
      </c>
      <c r="AS318" s="7"/>
      <c r="AT318" s="7">
        <f t="shared" si="57"/>
        <v>-3664.254055448248</v>
      </c>
      <c r="AU318" s="7">
        <f t="shared" si="58"/>
        <v>2161.9642335649</v>
      </c>
      <c r="AV318" s="7"/>
      <c r="AX318" s="7">
        <f t="shared" si="59"/>
        <v>106.94891454499465</v>
      </c>
      <c r="AY318" s="7">
        <f t="shared" si="60"/>
        <v>-73.964035738068986</v>
      </c>
      <c r="BB318" s="7">
        <f t="shared" si="61"/>
        <v>45.111533195585842</v>
      </c>
      <c r="BC318" s="7">
        <f t="shared" si="62"/>
        <v>-132.5254304897143</v>
      </c>
      <c r="BF318" s="7">
        <f t="shared" si="63"/>
        <v>51.499527439592335</v>
      </c>
      <c r="BG318" s="7">
        <f t="shared" si="64"/>
        <v>-113.8191808530897</v>
      </c>
      <c r="BI318" s="10">
        <f t="shared" si="65"/>
        <v>203.55997518017284</v>
      </c>
      <c r="BJ318">
        <f t="shared" si="66"/>
        <v>-320.30864708087302</v>
      </c>
    </row>
    <row r="319" spans="42:62" x14ac:dyDescent="0.25">
      <c r="AP319" s="1">
        <v>314</v>
      </c>
      <c r="AQ319" s="7">
        <f t="shared" si="55"/>
        <v>-33009.569006261961</v>
      </c>
      <c r="AR319" s="7">
        <f t="shared" si="56"/>
        <v>43951.982331902145</v>
      </c>
      <c r="AS319" s="7"/>
      <c r="AT319" s="7">
        <f t="shared" si="57"/>
        <v>-3562.4740678581616</v>
      </c>
      <c r="AU319" s="7">
        <f t="shared" si="58"/>
        <v>2001.8099100244635</v>
      </c>
      <c r="AV319" s="7"/>
      <c r="AX319" s="7">
        <f t="shared" si="59"/>
        <v>100.57601773267407</v>
      </c>
      <c r="AY319" s="7">
        <f t="shared" si="60"/>
        <v>-69.161007911070328</v>
      </c>
      <c r="BB319" s="7">
        <f t="shared" si="61"/>
        <v>46.026306609058757</v>
      </c>
      <c r="BC319" s="7">
        <f t="shared" si="62"/>
        <v>-120.1180721699004</v>
      </c>
      <c r="BF319" s="7">
        <f t="shared" si="63"/>
        <v>50.944160901201847</v>
      </c>
      <c r="BG319" s="7">
        <f t="shared" si="64"/>
        <v>-107.22261640976367</v>
      </c>
      <c r="BI319" s="10">
        <f t="shared" si="65"/>
        <v>197.54648524293469</v>
      </c>
      <c r="BJ319">
        <f t="shared" si="66"/>
        <v>-296.50169649073439</v>
      </c>
    </row>
    <row r="320" spans="42:62" x14ac:dyDescent="0.25">
      <c r="AP320" s="1">
        <v>315</v>
      </c>
      <c r="AQ320" s="7">
        <f t="shared" si="55"/>
        <v>-34766.112729535671</v>
      </c>
      <c r="AR320" s="7">
        <f t="shared" si="56"/>
        <v>44915.824574853032</v>
      </c>
      <c r="AS320" s="7"/>
      <c r="AT320" s="7">
        <f t="shared" si="57"/>
        <v>-3463.7008252366941</v>
      </c>
      <c r="AU320" s="7">
        <f t="shared" si="58"/>
        <v>1853.5590617790963</v>
      </c>
      <c r="AV320" s="7"/>
      <c r="AX320" s="7">
        <f t="shared" si="59"/>
        <v>95.016122882603995</v>
      </c>
      <c r="AY320" s="7">
        <f t="shared" si="60"/>
        <v>-64.914349556179133</v>
      </c>
      <c r="BB320" s="7">
        <f t="shared" si="61"/>
        <v>46.287495845696853</v>
      </c>
      <c r="BC320" s="7">
        <f t="shared" si="62"/>
        <v>-109.45101900277929</v>
      </c>
      <c r="BF320" s="7">
        <f t="shared" si="63"/>
        <v>50.350297597198164</v>
      </c>
      <c r="BG320" s="7">
        <f t="shared" si="64"/>
        <v>-101.34946492801342</v>
      </c>
      <c r="BI320" s="10">
        <f t="shared" si="65"/>
        <v>191.65391632549901</v>
      </c>
      <c r="BJ320">
        <f t="shared" si="66"/>
        <v>-275.71483348697188</v>
      </c>
    </row>
    <row r="321" spans="42:62" x14ac:dyDescent="0.25">
      <c r="AP321" s="1">
        <v>316</v>
      </c>
      <c r="AQ321" s="7">
        <f t="shared" si="55"/>
        <v>-36474.006402613333</v>
      </c>
      <c r="AR321" s="7">
        <f t="shared" si="56"/>
        <v>45808.139751556708</v>
      </c>
      <c r="AS321" s="7"/>
      <c r="AT321" s="7">
        <f t="shared" si="57"/>
        <v>-3367.8738670739444</v>
      </c>
      <c r="AU321" s="7">
        <f t="shared" si="58"/>
        <v>1715.7016450356105</v>
      </c>
      <c r="AV321" s="7"/>
      <c r="AX321" s="7">
        <f t="shared" si="59"/>
        <v>90.1303774207625</v>
      </c>
      <c r="AY321" s="7">
        <f t="shared" si="60"/>
        <v>-61.138341584622303</v>
      </c>
      <c r="BB321" s="7">
        <f t="shared" si="61"/>
        <v>46.115599536703975</v>
      </c>
      <c r="BC321" s="7">
        <f t="shared" si="62"/>
        <v>-100.23753740165874</v>
      </c>
      <c r="BF321" s="7">
        <f t="shared" si="63"/>
        <v>49.737778710701811</v>
      </c>
      <c r="BG321" s="7">
        <f t="shared" si="64"/>
        <v>-96.093956393210632</v>
      </c>
      <c r="BI321" s="10">
        <f t="shared" si="65"/>
        <v>185.98375566816827</v>
      </c>
      <c r="BJ321">
        <f t="shared" si="66"/>
        <v>-257.46983537949166</v>
      </c>
    </row>
    <row r="322" spans="42:62" x14ac:dyDescent="0.25">
      <c r="AP322" s="1">
        <v>317</v>
      </c>
      <c r="AQ322" s="7">
        <f t="shared" si="55"/>
        <v>-38134.695366691783</v>
      </c>
      <c r="AR322" s="7">
        <f t="shared" si="56"/>
        <v>46633.806844652077</v>
      </c>
      <c r="AS322" s="7"/>
      <c r="AT322" s="7">
        <f t="shared" si="57"/>
        <v>-3274.8819892398601</v>
      </c>
      <c r="AU322" s="7">
        <f t="shared" si="58"/>
        <v>1586.9667273458647</v>
      </c>
      <c r="AV322" s="7"/>
      <c r="AX322" s="7">
        <f t="shared" si="59"/>
        <v>85.809372375982548</v>
      </c>
      <c r="AY322" s="7">
        <f t="shared" si="60"/>
        <v>-57.763223542176071</v>
      </c>
      <c r="BB322" s="7">
        <f t="shared" si="61"/>
        <v>45.66117504496853</v>
      </c>
      <c r="BC322" s="7">
        <f t="shared" si="62"/>
        <v>-92.239909911559465</v>
      </c>
      <c r="BF322" s="7">
        <f t="shared" si="63"/>
        <v>49.120782019741341</v>
      </c>
      <c r="BG322" s="7">
        <f t="shared" si="64"/>
        <v>-91.369507326340241</v>
      </c>
      <c r="BI322" s="10">
        <f t="shared" si="65"/>
        <v>180.59132944069242</v>
      </c>
      <c r="BJ322">
        <f t="shared" si="66"/>
        <v>-241.37264078007578</v>
      </c>
    </row>
    <row r="323" spans="42:62" x14ac:dyDescent="0.25">
      <c r="AP323" s="1">
        <v>318</v>
      </c>
      <c r="AQ323" s="7">
        <f t="shared" si="55"/>
        <v>-39749.562445131625</v>
      </c>
      <c r="AR323" s="7">
        <f t="shared" si="56"/>
        <v>47397.118628227501</v>
      </c>
      <c r="AS323" s="7"/>
      <c r="AT323" s="7">
        <f t="shared" si="57"/>
        <v>-3184.5863245195137</v>
      </c>
      <c r="AU323" s="7">
        <f t="shared" si="58"/>
        <v>1466.2804069558267</v>
      </c>
      <c r="AV323" s="7"/>
      <c r="AX323" s="7">
        <f t="shared" si="59"/>
        <v>81.96586928304238</v>
      </c>
      <c r="AY323" s="7">
        <f t="shared" si="60"/>
        <v>-54.73181520374105</v>
      </c>
      <c r="BB323" s="7">
        <f t="shared" si="61"/>
        <v>45.027454832161638</v>
      </c>
      <c r="BC323" s="7">
        <f t="shared" si="62"/>
        <v>-85.262500096582855</v>
      </c>
      <c r="BF323" s="7">
        <f t="shared" si="63"/>
        <v>48.509426066904162</v>
      </c>
      <c r="BG323" s="7">
        <f t="shared" si="64"/>
        <v>-87.104648228683189</v>
      </c>
      <c r="BI323" s="10">
        <f t="shared" si="65"/>
        <v>175.50275018210817</v>
      </c>
      <c r="BJ323">
        <f t="shared" si="66"/>
        <v>-227.09896352900711</v>
      </c>
    </row>
    <row r="324" spans="42:62" x14ac:dyDescent="0.25">
      <c r="AP324" s="1">
        <v>319</v>
      </c>
      <c r="AQ324" s="7">
        <f t="shared" si="55"/>
        <v>-41319.917763618614</v>
      </c>
      <c r="AR324" s="7">
        <f t="shared" si="56"/>
        <v>48101.871461264294</v>
      </c>
      <c r="AS324" s="7"/>
      <c r="AT324" s="7">
        <f t="shared" si="57"/>
        <v>-3096.8349494284598</v>
      </c>
      <c r="AU324" s="7">
        <f t="shared" si="58"/>
        <v>1352.7309251913232</v>
      </c>
      <c r="AV324" s="7"/>
      <c r="AX324" s="7">
        <f t="shared" si="59"/>
        <v>78.529547109552354</v>
      </c>
      <c r="AY324" s="7">
        <f t="shared" si="60"/>
        <v>-51.996915422236</v>
      </c>
      <c r="BB324" s="7">
        <f t="shared" si="61"/>
        <v>44.285443496488689</v>
      </c>
      <c r="BC324" s="7">
        <f t="shared" si="62"/>
        <v>-79.144689694239261</v>
      </c>
      <c r="BF324" s="7">
        <f t="shared" si="63"/>
        <v>47.910897959849308</v>
      </c>
      <c r="BG324" s="7">
        <f t="shared" si="64"/>
        <v>-83.23992758828723</v>
      </c>
      <c r="BI324" s="10">
        <f t="shared" si="65"/>
        <v>170.72588856589033</v>
      </c>
      <c r="BJ324">
        <f t="shared" si="66"/>
        <v>-214.38153270476249</v>
      </c>
    </row>
    <row r="325" spans="42:62" x14ac:dyDescent="0.25">
      <c r="AP325" s="1">
        <v>320</v>
      </c>
      <c r="AQ325" s="7">
        <f t="shared" si="55"/>
        <v>-42846.99450226211</v>
      </c>
      <c r="AR325" s="7">
        <f t="shared" si="56"/>
        <v>48751.439232271863</v>
      </c>
      <c r="AS325" s="7"/>
      <c r="AT325" s="7">
        <f t="shared" si="57"/>
        <v>-3011.4720051455147</v>
      </c>
      <c r="AU325" s="7">
        <f t="shared" si="58"/>
        <v>1245.540158838942</v>
      </c>
      <c r="AV325" s="7"/>
      <c r="AX325" s="7">
        <f t="shared" si="59"/>
        <v>75.443153963996494</v>
      </c>
      <c r="AY325" s="7">
        <f t="shared" si="60"/>
        <v>-49.519292145700192</v>
      </c>
      <c r="BB325" s="7">
        <f t="shared" si="61"/>
        <v>43.484048527218341</v>
      </c>
      <c r="BC325" s="7">
        <f t="shared" si="62"/>
        <v>-73.754535368265692</v>
      </c>
      <c r="BF325" s="7">
        <f t="shared" si="63"/>
        <v>47.330255095576319</v>
      </c>
      <c r="BG325" s="7">
        <f t="shared" si="64"/>
        <v>-79.725534913828142</v>
      </c>
      <c r="BI325" s="10">
        <f t="shared" si="65"/>
        <v>166.25745758679113</v>
      </c>
      <c r="BJ325">
        <f t="shared" si="66"/>
        <v>-202.99936242779404</v>
      </c>
    </row>
    <row r="326" spans="42:62" x14ac:dyDescent="0.25">
      <c r="AP326" s="1">
        <v>321</v>
      </c>
      <c r="AQ326" s="7">
        <f t="shared" ref="AQ326:AQ389" si="67">AQ325+(AT325*$R$7)+((1/2)*(BI325)*$R$7^2)</f>
        <v>-44331.948322636512</v>
      </c>
      <c r="AR326" s="7">
        <f t="shared" ref="AR326:AR389" si="68">AR325+(AU325*$R$7)+((1/2)*(BJ325)*$R$7^2)</f>
        <v>49348.834391387856</v>
      </c>
      <c r="AS326" s="7"/>
      <c r="AT326" s="7">
        <f t="shared" ref="AT326:AT389" si="69">AT325+(BI325)*$R$7</f>
        <v>-2928.3432763521191</v>
      </c>
      <c r="AU326" s="7">
        <f t="shared" ref="AU326:AU389" si="70">AU325+(BJ325)*$R$7</f>
        <v>1144.040477625045</v>
      </c>
      <c r="AV326" s="7"/>
      <c r="AX326" s="7">
        <f t="shared" ref="AX326:AX389" si="71">(($R$23-AQ326)/(($R$23-AQ326)^2+($S$23-AR326)^2+$R$28^2)^(3/2))*$R$27</f>
        <v>72.659650169634901</v>
      </c>
      <c r="AY326" s="7">
        <f t="shared" ref="AY326:AY389" si="72">(($S$23-AR326)/(($R$23-AQ326)^2+($S$23-AR326)^2+$R$28^2)^(3/2))*$R$27</f>
        <v>-47.266121206767302</v>
      </c>
      <c r="BB326" s="7">
        <f t="shared" ref="BB326:BB389" si="73">(($R$32-AQ326)/(($R$32-AQ326)^2+($S$32-AR326)^2+$R$37^2)^(3/2))*$R$36</f>
        <v>42.656925589197961</v>
      </c>
      <c r="BC326" s="7">
        <f t="shared" ref="BC326:BC389" si="74">(($S$32-AR326)/(($R$32-AQ326)^2+($S$32-AR326)^2+$R$37^2)^(3/2))*$R$36</f>
        <v>-68.983390824217807</v>
      </c>
      <c r="BF326" s="7">
        <f t="shared" ref="BF326:BF389" si="75">(($R$41-AQ326)/(($R$41-AQ326)^2+($S$41-AR326)^2+$R$46^2)^(3/2))*$R$45</f>
        <v>46.771000764201645</v>
      </c>
      <c r="BG326" s="7">
        <f t="shared" ref="BG326:BG389" si="76">(($S$41-AR326)/(($R$41-AQ326)^2+($S$41-AR326)^2+$R$46^2)^(3/2))*$R$45</f>
        <v>-76.519458375341983</v>
      </c>
      <c r="BI326" s="10">
        <f t="shared" ref="BI326:BI389" si="77">BF326+BB326+AX326</f>
        <v>162.0875765230345</v>
      </c>
      <c r="BJ326">
        <f t="shared" ref="BJ326:BJ389" si="78">BG326+BC326+AY326</f>
        <v>-192.7689704063271</v>
      </c>
    </row>
    <row r="327" spans="42:62" x14ac:dyDescent="0.25">
      <c r="AP327" s="1">
        <v>322</v>
      </c>
      <c r="AQ327" s="7">
        <f t="shared" si="67"/>
        <v>-45775.859013747191</v>
      </c>
      <c r="AR327" s="7">
        <f t="shared" si="68"/>
        <v>49896.758508899591</v>
      </c>
      <c r="AS327" s="7"/>
      <c r="AT327" s="7">
        <f t="shared" si="69"/>
        <v>-2847.2994880906017</v>
      </c>
      <c r="AU327" s="7">
        <f t="shared" si="70"/>
        <v>1047.6559924218814</v>
      </c>
      <c r="AV327" s="7"/>
      <c r="AX327" s="7">
        <f t="shared" si="71"/>
        <v>70.140060781733808</v>
      </c>
      <c r="AY327" s="7">
        <f t="shared" si="72"/>
        <v>-45.209766369469989</v>
      </c>
      <c r="BB327" s="7">
        <f t="shared" si="73"/>
        <v>41.827139431268023</v>
      </c>
      <c r="BC327" s="7">
        <f t="shared" si="74"/>
        <v>-64.741480783137376</v>
      </c>
      <c r="BF327" s="7">
        <f t="shared" si="75"/>
        <v>46.235501079877523</v>
      </c>
      <c r="BG327" s="7">
        <f t="shared" si="76"/>
        <v>-73.586043818406779</v>
      </c>
      <c r="BI327" s="10">
        <f t="shared" si="77"/>
        <v>158.20270129287934</v>
      </c>
      <c r="BJ327">
        <f t="shared" si="78"/>
        <v>-183.53729097101416</v>
      </c>
    </row>
    <row r="328" spans="42:62" x14ac:dyDescent="0.25">
      <c r="AP328" s="1">
        <v>323</v>
      </c>
      <c r="AQ328" s="7">
        <f t="shared" si="67"/>
        <v>-47179.733420130884</v>
      </c>
      <c r="AR328" s="7">
        <f t="shared" si="68"/>
        <v>50397.64434373915</v>
      </c>
      <c r="AS328" s="7"/>
      <c r="AT328" s="7">
        <f t="shared" si="69"/>
        <v>-2768.1981374441621</v>
      </c>
      <c r="AU328" s="7">
        <f t="shared" si="70"/>
        <v>955.88734693637434</v>
      </c>
      <c r="AV328" s="7"/>
      <c r="AX328" s="7">
        <f t="shared" si="71"/>
        <v>67.851842536343369</v>
      </c>
      <c r="AY328" s="7">
        <f t="shared" si="72"/>
        <v>-43.326819875698448</v>
      </c>
      <c r="BB328" s="7">
        <f t="shared" si="73"/>
        <v>41.010362532288887</v>
      </c>
      <c r="BC328" s="7">
        <f t="shared" si="74"/>
        <v>-60.954315275224438</v>
      </c>
      <c r="BF328" s="7">
        <f t="shared" si="75"/>
        <v>45.725289360493527</v>
      </c>
      <c r="BG328" s="7">
        <f t="shared" si="76"/>
        <v>-70.894857995592233</v>
      </c>
      <c r="BI328" s="10">
        <f t="shared" si="77"/>
        <v>154.5874944291258</v>
      </c>
      <c r="BJ328">
        <f t="shared" si="78"/>
        <v>-175.17599314651511</v>
      </c>
    </row>
    <row r="329" spans="42:62" x14ac:dyDescent="0.25">
      <c r="AP329" s="1">
        <v>324</v>
      </c>
      <c r="AQ329" s="7">
        <f t="shared" si="67"/>
        <v>-48544.509052049325</v>
      </c>
      <c r="AR329" s="7">
        <f t="shared" si="68"/>
        <v>50853.691018064026</v>
      </c>
      <c r="AS329" s="7"/>
      <c r="AT329" s="7">
        <f t="shared" si="69"/>
        <v>-2690.9043902295994</v>
      </c>
      <c r="AU329" s="7">
        <f t="shared" si="70"/>
        <v>868.29935036311679</v>
      </c>
      <c r="AV329" s="7"/>
      <c r="AX329" s="7">
        <f t="shared" si="71"/>
        <v>65.767628484632425</v>
      </c>
      <c r="AY329" s="7">
        <f t="shared" si="72"/>
        <v>-41.59734286153347</v>
      </c>
      <c r="BB329" s="7">
        <f t="shared" si="73"/>
        <v>40.217087227176407</v>
      </c>
      <c r="BC329" s="7">
        <f t="shared" si="74"/>
        <v>-57.559807815564277</v>
      </c>
      <c r="BF329" s="7">
        <f t="shared" si="75"/>
        <v>45.241289883456297</v>
      </c>
      <c r="BG329" s="7">
        <f t="shared" si="76"/>
        <v>-68.419784494127441</v>
      </c>
      <c r="BI329" s="10">
        <f t="shared" si="77"/>
        <v>151.22600559526512</v>
      </c>
      <c r="BJ329">
        <f t="shared" si="78"/>
        <v>-167.57693517122519</v>
      </c>
    </row>
    <row r="330" spans="42:62" x14ac:dyDescent="0.25">
      <c r="AP330" s="1">
        <v>325</v>
      </c>
      <c r="AQ330" s="7">
        <f t="shared" si="67"/>
        <v>-49871.057996464711</v>
      </c>
      <c r="AR330" s="7">
        <f t="shared" si="68"/>
        <v>51266.893576349183</v>
      </c>
      <c r="AS330" s="7"/>
      <c r="AT330" s="7">
        <f t="shared" si="69"/>
        <v>-2615.291387431967</v>
      </c>
      <c r="AU330" s="7">
        <f t="shared" si="70"/>
        <v>784.51088277750421</v>
      </c>
      <c r="AV330" s="7"/>
      <c r="AX330" s="7">
        <f t="shared" si="71"/>
        <v>63.864253172020156</v>
      </c>
      <c r="AY330" s="7">
        <f t="shared" si="72"/>
        <v>-40.004260019280849</v>
      </c>
      <c r="BB330" s="7">
        <f t="shared" si="73"/>
        <v>39.454166803868212</v>
      </c>
      <c r="BC330" s="7">
        <f t="shared" si="74"/>
        <v>-54.505967041122297</v>
      </c>
      <c r="BF330" s="7">
        <f t="shared" si="75"/>
        <v>44.783983369934134</v>
      </c>
      <c r="BG330" s="7">
        <f t="shared" si="76"/>
        <v>-66.138299215816019</v>
      </c>
      <c r="BI330" s="10">
        <f t="shared" si="77"/>
        <v>148.10240334582249</v>
      </c>
      <c r="BJ330">
        <f t="shared" si="78"/>
        <v>-160.64852627621917</v>
      </c>
    </row>
    <row r="331" spans="42:62" x14ac:dyDescent="0.25">
      <c r="AP331" s="1">
        <v>326</v>
      </c>
      <c r="AQ331" s="7">
        <f t="shared" si="67"/>
        <v>-51160.190889762467</v>
      </c>
      <c r="AR331" s="7">
        <f t="shared" si="68"/>
        <v>51639.06795195341</v>
      </c>
      <c r="AS331" s="7"/>
      <c r="AT331" s="7">
        <f t="shared" si="69"/>
        <v>-2541.2401857590557</v>
      </c>
      <c r="AU331" s="7">
        <f t="shared" si="70"/>
        <v>704.18661963939462</v>
      </c>
      <c r="AV331" s="7"/>
      <c r="AX331" s="7">
        <f t="shared" si="71"/>
        <v>62.121988502547758</v>
      </c>
      <c r="AY331" s="7">
        <f t="shared" si="72"/>
        <v>-38.532874034475164</v>
      </c>
      <c r="BB331" s="7">
        <f t="shared" si="73"/>
        <v>38.725896397963353</v>
      </c>
      <c r="BC331" s="7">
        <f t="shared" si="74"/>
        <v>-51.749048563912567</v>
      </c>
      <c r="BF331" s="7">
        <f t="shared" si="75"/>
        <v>44.353530010549605</v>
      </c>
      <c r="BG331" s="7">
        <f t="shared" si="76"/>
        <v>-64.030885559824199</v>
      </c>
      <c r="BI331" s="10">
        <f t="shared" si="77"/>
        <v>145.20141491106071</v>
      </c>
      <c r="BJ331">
        <f t="shared" si="78"/>
        <v>-154.31280815821194</v>
      </c>
    </row>
    <row r="332" spans="42:62" x14ac:dyDescent="0.25">
      <c r="AP332" s="1">
        <v>327</v>
      </c>
      <c r="AQ332" s="7">
        <f t="shared" si="67"/>
        <v>-52412.660805778112</v>
      </c>
      <c r="AR332" s="7">
        <f t="shared" si="68"/>
        <v>51971.87216075333</v>
      </c>
      <c r="AS332" s="7"/>
      <c r="AT332" s="7">
        <f t="shared" si="69"/>
        <v>-2468.6394783035253</v>
      </c>
      <c r="AU332" s="7">
        <f t="shared" si="70"/>
        <v>627.03021556028864</v>
      </c>
      <c r="AV332" s="7"/>
      <c r="AX332" s="7">
        <f t="shared" si="71"/>
        <v>60.523939461501556</v>
      </c>
      <c r="AY332" s="7">
        <f t="shared" si="72"/>
        <v>-37.170473622235626</v>
      </c>
      <c r="BB332" s="7">
        <f t="shared" si="73"/>
        <v>38.034775728327276</v>
      </c>
      <c r="BC332" s="7">
        <f t="shared" si="74"/>
        <v>-49.25207325921518</v>
      </c>
      <c r="BF332" s="7">
        <f t="shared" si="75"/>
        <v>43.949861327567483</v>
      </c>
      <c r="BG332" s="7">
        <f t="shared" si="76"/>
        <v>-62.08055916477857</v>
      </c>
      <c r="BI332" s="10">
        <f t="shared" si="77"/>
        <v>142.50857651739631</v>
      </c>
      <c r="BJ332">
        <f t="shared" si="78"/>
        <v>-148.50310604622936</v>
      </c>
    </row>
    <row r="333" spans="42:62" x14ac:dyDescent="0.25">
      <c r="AP333" s="1">
        <v>328</v>
      </c>
      <c r="AQ333" s="7">
        <f t="shared" si="67"/>
        <v>-53629.166972865198</v>
      </c>
      <c r="AR333" s="7">
        <f t="shared" si="68"/>
        <v>52266.824380277692</v>
      </c>
      <c r="AS333" s="7"/>
      <c r="AT333" s="7">
        <f t="shared" si="69"/>
        <v>-2397.3851900448271</v>
      </c>
      <c r="AU333" s="7">
        <f t="shared" si="70"/>
        <v>552.778662537174</v>
      </c>
      <c r="AV333" s="7"/>
      <c r="AX333" s="7">
        <f t="shared" si="71"/>
        <v>59.055562309009737</v>
      </c>
      <c r="AY333" s="7">
        <f t="shared" si="72"/>
        <v>-35.906015173854776</v>
      </c>
      <c r="BB333" s="7">
        <f t="shared" si="73"/>
        <v>37.382050178595982</v>
      </c>
      <c r="BC333" s="7">
        <f t="shared" si="74"/>
        <v>-46.98363629251763</v>
      </c>
      <c r="BF333" s="7">
        <f t="shared" si="75"/>
        <v>43.572749013736903</v>
      </c>
      <c r="BG333" s="7">
        <f t="shared" si="76"/>
        <v>-60.272479216196317</v>
      </c>
      <c r="BI333" s="10">
        <f t="shared" si="77"/>
        <v>140.01036150134263</v>
      </c>
      <c r="BJ333">
        <f t="shared" si="78"/>
        <v>-143.16213068256872</v>
      </c>
    </row>
    <row r="334" spans="42:62" x14ac:dyDescent="0.25">
      <c r="AP334" s="1">
        <v>329</v>
      </c>
      <c r="AQ334" s="7">
        <f t="shared" si="67"/>
        <v>-54810.358272699938</v>
      </c>
      <c r="AR334" s="7">
        <f t="shared" si="68"/>
        <v>52525.318445210964</v>
      </c>
      <c r="AS334" s="7"/>
      <c r="AT334" s="7">
        <f t="shared" si="69"/>
        <v>-2327.380009294156</v>
      </c>
      <c r="AU334" s="7">
        <f t="shared" si="70"/>
        <v>481.19759719588967</v>
      </c>
      <c r="AV334" s="7"/>
      <c r="AX334" s="7">
        <f t="shared" si="71"/>
        <v>57.704277457459092</v>
      </c>
      <c r="AY334" s="7">
        <f t="shared" si="72"/>
        <v>-34.729862657549006</v>
      </c>
      <c r="BB334" s="7">
        <f t="shared" si="73"/>
        <v>36.768096337894299</v>
      </c>
      <c r="BC334" s="7">
        <f t="shared" si="74"/>
        <v>-44.916946649738605</v>
      </c>
      <c r="BF334" s="7">
        <f t="shared" si="75"/>
        <v>43.221856662881265</v>
      </c>
      <c r="BG334" s="7">
        <f t="shared" si="76"/>
        <v>-58.593628637960038</v>
      </c>
      <c r="BI334" s="10">
        <f t="shared" si="77"/>
        <v>137.69423045823464</v>
      </c>
      <c r="BJ334">
        <f t="shared" si="78"/>
        <v>-138.24043794524766</v>
      </c>
    </row>
    <row r="335" spans="42:62" x14ac:dyDescent="0.25">
      <c r="AP335" s="1">
        <v>330</v>
      </c>
      <c r="AQ335" s="7">
        <f t="shared" si="67"/>
        <v>-55956.836498539735</v>
      </c>
      <c r="AR335" s="7">
        <f t="shared" si="68"/>
        <v>52748.637189065754</v>
      </c>
      <c r="AS335" s="7"/>
      <c r="AT335" s="7">
        <f t="shared" si="69"/>
        <v>-2258.5328940650388</v>
      </c>
      <c r="AU335" s="7">
        <f t="shared" si="70"/>
        <v>412.07737822326584</v>
      </c>
      <c r="AV335" s="7"/>
      <c r="AX335" s="7">
        <f t="shared" si="71"/>
        <v>56.459156178282676</v>
      </c>
      <c r="AY335" s="7">
        <f t="shared" si="72"/>
        <v>-33.633573904319029</v>
      </c>
      <c r="BB335" s="7">
        <f t="shared" si="73"/>
        <v>36.192697662293924</v>
      </c>
      <c r="BC335" s="7">
        <f t="shared" si="74"/>
        <v>-43.029049602897771</v>
      </c>
      <c r="BF335" s="7">
        <f t="shared" si="75"/>
        <v>42.896778723446232</v>
      </c>
      <c r="BG335" s="7">
        <f t="shared" si="76"/>
        <v>-57.032549467580793</v>
      </c>
      <c r="BI335" s="10">
        <f t="shared" si="77"/>
        <v>135.54863256402282</v>
      </c>
      <c r="BJ335">
        <f t="shared" si="78"/>
        <v>-133.6951729747976</v>
      </c>
    </row>
    <row r="336" spans="42:62" x14ac:dyDescent="0.25">
      <c r="AP336" s="1">
        <v>331</v>
      </c>
      <c r="AQ336" s="7">
        <f t="shared" si="67"/>
        <v>-57069.15936650175</v>
      </c>
      <c r="AR336" s="7">
        <f t="shared" si="68"/>
        <v>52937.963981555542</v>
      </c>
      <c r="AS336" s="7"/>
      <c r="AT336" s="7">
        <f t="shared" si="69"/>
        <v>-2190.7585777830272</v>
      </c>
      <c r="AU336" s="7">
        <f t="shared" si="70"/>
        <v>345.22979173586702</v>
      </c>
      <c r="AV336" s="7"/>
      <c r="AX336" s="7">
        <f t="shared" si="71"/>
        <v>55.310665342109395</v>
      </c>
      <c r="AY336" s="7">
        <f t="shared" si="72"/>
        <v>-32.609724048748447</v>
      </c>
      <c r="BB336" s="7">
        <f t="shared" si="73"/>
        <v>35.655242040504966</v>
      </c>
      <c r="BC336" s="7">
        <f t="shared" si="74"/>
        <v>-41.300194680765578</v>
      </c>
      <c r="BF336" s="7">
        <f t="shared" si="75"/>
        <v>42.597069869003477</v>
      </c>
      <c r="BG336" s="7">
        <f t="shared" si="76"/>
        <v>-55.579122722345424</v>
      </c>
      <c r="BI336" s="10">
        <f t="shared" si="77"/>
        <v>133.56297725161784</v>
      </c>
      <c r="BJ336">
        <f t="shared" si="78"/>
        <v>-129.48904145185946</v>
      </c>
    </row>
    <row r="337" spans="42:62" x14ac:dyDescent="0.25">
      <c r="AP337" s="1">
        <v>332</v>
      </c>
      <c r="AQ337" s="7">
        <f t="shared" si="67"/>
        <v>-58147.843283236813</v>
      </c>
      <c r="AR337" s="7">
        <f t="shared" si="68"/>
        <v>53094.392747241996</v>
      </c>
      <c r="AS337" s="7"/>
      <c r="AT337" s="7">
        <f t="shared" si="69"/>
        <v>-2123.9770891572184</v>
      </c>
      <c r="AU337" s="7">
        <f t="shared" si="70"/>
        <v>280.48527100993726</v>
      </c>
      <c r="AV337" s="7"/>
      <c r="AX337" s="7">
        <f t="shared" si="71"/>
        <v>54.250458123442435</v>
      </c>
      <c r="AY337" s="7">
        <f t="shared" si="72"/>
        <v>-31.651758903097253</v>
      </c>
      <c r="BB337" s="7">
        <f t="shared" si="73"/>
        <v>35.154863552397266</v>
      </c>
      <c r="BC337" s="7">
        <f t="shared" si="74"/>
        <v>-39.713319719136855</v>
      </c>
      <c r="BF337" s="7">
        <f t="shared" si="75"/>
        <v>42.32226715664337</v>
      </c>
      <c r="BG337" s="7">
        <f t="shared" si="76"/>
        <v>-54.224384352904657</v>
      </c>
      <c r="BI337" s="10">
        <f t="shared" si="77"/>
        <v>131.72758883248306</v>
      </c>
      <c r="BJ337">
        <f t="shared" si="78"/>
        <v>-125.58946297513876</v>
      </c>
    </row>
    <row r="338" spans="42:62" x14ac:dyDescent="0.25">
      <c r="AP338" s="1">
        <v>333</v>
      </c>
      <c r="AQ338" s="7">
        <f t="shared" si="67"/>
        <v>-59193.365879211357</v>
      </c>
      <c r="AR338" s="7">
        <f t="shared" si="68"/>
        <v>53218.93669987507</v>
      </c>
      <c r="AS338" s="7"/>
      <c r="AT338" s="7">
        <f t="shared" si="69"/>
        <v>-2058.1132947409769</v>
      </c>
      <c r="AU338" s="7">
        <f t="shared" si="70"/>
        <v>217.69053952236789</v>
      </c>
      <c r="AV338" s="7"/>
      <c r="AX338" s="7">
        <f t="shared" si="71"/>
        <v>53.271201372947573</v>
      </c>
      <c r="AY338" s="7">
        <f t="shared" si="72"/>
        <v>-30.753872580827117</v>
      </c>
      <c r="BB338" s="7">
        <f t="shared" si="73"/>
        <v>34.69054416072354</v>
      </c>
      <c r="BC338" s="7">
        <f t="shared" si="74"/>
        <v>-38.253627840669139</v>
      </c>
      <c r="BF338" s="7">
        <f t="shared" si="75"/>
        <v>42.071906744028773</v>
      </c>
      <c r="BG338" s="7">
        <f t="shared" si="76"/>
        <v>-52.960370636711467</v>
      </c>
      <c r="BI338" s="10">
        <f t="shared" si="77"/>
        <v>130.0336522776999</v>
      </c>
      <c r="BJ338">
        <f t="shared" si="78"/>
        <v>-121.96787105820773</v>
      </c>
    </row>
    <row r="339" spans="42:62" x14ac:dyDescent="0.25">
      <c r="AP339" s="1">
        <v>334</v>
      </c>
      <c r="AQ339" s="7">
        <f t="shared" si="67"/>
        <v>-60206.168320047131</v>
      </c>
      <c r="AR339" s="7">
        <f t="shared" si="68"/>
        <v>53312.535985753981</v>
      </c>
      <c r="AS339" s="7"/>
      <c r="AT339" s="7">
        <f t="shared" si="69"/>
        <v>-1993.0964686021271</v>
      </c>
      <c r="AU339" s="7">
        <f t="shared" si="70"/>
        <v>156.70660399326403</v>
      </c>
      <c r="AV339" s="7"/>
      <c r="AX339" s="7">
        <f t="shared" si="71"/>
        <v>52.366432440044868</v>
      </c>
      <c r="AY339" s="7">
        <f t="shared" si="72"/>
        <v>-29.910904869962256</v>
      </c>
      <c r="BB339" s="7">
        <f t="shared" si="73"/>
        <v>34.261186525488512</v>
      </c>
      <c r="BC339" s="7">
        <f t="shared" si="74"/>
        <v>-36.908239116134482</v>
      </c>
      <c r="BF339" s="7">
        <f t="shared" si="75"/>
        <v>41.845536495228323</v>
      </c>
      <c r="BG339" s="7">
        <f t="shared" si="76"/>
        <v>-51.779987719876338</v>
      </c>
      <c r="BI339" s="10">
        <f t="shared" si="77"/>
        <v>128.47315546076169</v>
      </c>
      <c r="BJ339">
        <f t="shared" si="78"/>
        <v>-118.59913170597306</v>
      </c>
    </row>
    <row r="340" spans="42:62" x14ac:dyDescent="0.25">
      <c r="AP340" s="1">
        <v>335</v>
      </c>
      <c r="AQ340" s="7">
        <f t="shared" si="67"/>
        <v>-61186.657409915599</v>
      </c>
      <c r="AR340" s="7">
        <f t="shared" si="68"/>
        <v>53376.064396287366</v>
      </c>
      <c r="AS340" s="7"/>
      <c r="AT340" s="7">
        <f t="shared" si="69"/>
        <v>-1928.8598908717463</v>
      </c>
      <c r="AU340" s="7">
        <f t="shared" si="70"/>
        <v>97.407038140277493</v>
      </c>
      <c r="AV340" s="7"/>
      <c r="AX340" s="7">
        <f t="shared" si="71"/>
        <v>51.530439801833431</v>
      </c>
      <c r="AY340" s="7">
        <f t="shared" si="72"/>
        <v>-29.11825477408059</v>
      </c>
      <c r="BB340" s="7">
        <f t="shared" si="73"/>
        <v>33.865665944246366</v>
      </c>
      <c r="BC340" s="7">
        <f t="shared" si="74"/>
        <v>-35.6659024839228</v>
      </c>
      <c r="BF340" s="7">
        <f t="shared" si="75"/>
        <v>41.642725479850334</v>
      </c>
      <c r="BG340" s="7">
        <f t="shared" si="76"/>
        <v>-50.676901070549746</v>
      </c>
      <c r="BI340" s="10">
        <f t="shared" si="77"/>
        <v>127.03883122593012</v>
      </c>
      <c r="BJ340">
        <f t="shared" si="78"/>
        <v>-115.46105832855312</v>
      </c>
    </row>
    <row r="341" spans="42:62" x14ac:dyDescent="0.25">
      <c r="AP341" s="1">
        <v>336</v>
      </c>
      <c r="AQ341" s="7">
        <f t="shared" si="67"/>
        <v>-62135.207501448225</v>
      </c>
      <c r="AR341" s="7">
        <f t="shared" si="68"/>
        <v>53410.33528306643</v>
      </c>
      <c r="AS341" s="7"/>
      <c r="AT341" s="7">
        <f t="shared" si="69"/>
        <v>-1865.3404752587812</v>
      </c>
      <c r="AU341" s="7">
        <f t="shared" si="70"/>
        <v>39.676508976000932</v>
      </c>
      <c r="AV341" s="7"/>
      <c r="AX341" s="7">
        <f t="shared" si="71"/>
        <v>50.758163054119898</v>
      </c>
      <c r="AY341" s="7">
        <f t="shared" si="72"/>
        <v>-28.371807353455715</v>
      </c>
      <c r="BB341" s="7">
        <f t="shared" si="73"/>
        <v>33.502867175280358</v>
      </c>
      <c r="BC341" s="7">
        <f t="shared" si="74"/>
        <v>-34.516756490945802</v>
      </c>
      <c r="BF341" s="7">
        <f t="shared" si="75"/>
        <v>41.463071127981301</v>
      </c>
      <c r="BG341" s="7">
        <f t="shared" si="76"/>
        <v>-49.645441432219094</v>
      </c>
      <c r="BI341" s="10">
        <f t="shared" si="77"/>
        <v>125.72410135738156</v>
      </c>
      <c r="BJ341">
        <f t="shared" si="78"/>
        <v>-112.5340052766206</v>
      </c>
    </row>
    <row r="342" spans="42:62" x14ac:dyDescent="0.25">
      <c r="AP342" s="1">
        <v>337</v>
      </c>
      <c r="AQ342" s="7">
        <f t="shared" si="67"/>
        <v>-63052.162226407941</v>
      </c>
      <c r="AR342" s="7">
        <f t="shared" si="68"/>
        <v>53416.106786894852</v>
      </c>
      <c r="AS342" s="7"/>
      <c r="AT342" s="7">
        <f t="shared" si="69"/>
        <v>-1802.4784245800904</v>
      </c>
      <c r="AU342" s="7">
        <f t="shared" si="70"/>
        <v>-16.59049366230937</v>
      </c>
      <c r="AV342" s="7"/>
      <c r="AX342" s="7">
        <f t="shared" si="71"/>
        <v>50.045108742071506</v>
      </c>
      <c r="AY342" s="7">
        <f t="shared" si="72"/>
        <v>-27.667871558822206</v>
      </c>
      <c r="BB342" s="7">
        <f t="shared" si="73"/>
        <v>33.171710306498142</v>
      </c>
      <c r="BC342" s="7">
        <f t="shared" si="74"/>
        <v>-33.452129753600659</v>
      </c>
      <c r="BF342" s="7">
        <f t="shared" si="75"/>
        <v>41.306204622610473</v>
      </c>
      <c r="BG342" s="7">
        <f t="shared" si="76"/>
        <v>-48.680524515179819</v>
      </c>
      <c r="BI342" s="10">
        <f t="shared" si="77"/>
        <v>124.52302367118011</v>
      </c>
      <c r="BJ342">
        <f t="shared" si="78"/>
        <v>-109.80052582760268</v>
      </c>
    </row>
    <row r="343" spans="42:62" x14ac:dyDescent="0.25">
      <c r="AP343" s="1">
        <v>338</v>
      </c>
      <c r="AQ343" s="7">
        <f t="shared" si="67"/>
        <v>-63937.836060739086</v>
      </c>
      <c r="AR343" s="7">
        <f t="shared" si="68"/>
        <v>53394.086474335243</v>
      </c>
      <c r="AS343" s="7"/>
      <c r="AT343" s="7">
        <f t="shared" si="69"/>
        <v>-1740.2169127445004</v>
      </c>
      <c r="AU343" s="7">
        <f t="shared" si="70"/>
        <v>-71.490756576110712</v>
      </c>
      <c r="AV343" s="7"/>
      <c r="AX343" s="7">
        <f t="shared" si="71"/>
        <v>49.38727922130245</v>
      </c>
      <c r="AY343" s="7">
        <f t="shared" si="72"/>
        <v>-27.003127191347289</v>
      </c>
      <c r="BB343" s="7">
        <f t="shared" si="73"/>
        <v>32.871168694587382</v>
      </c>
      <c r="BC343" s="7">
        <f t="shared" si="74"/>
        <v>-32.464373868424694</v>
      </c>
      <c r="BF343" s="7">
        <f t="shared" si="75"/>
        <v>41.17179497545925</v>
      </c>
      <c r="BG343" s="7">
        <f t="shared" si="76"/>
        <v>-47.777582179182737</v>
      </c>
      <c r="BI343" s="10">
        <f t="shared" si="77"/>
        <v>123.43024289134908</v>
      </c>
      <c r="BJ343">
        <f t="shared" si="78"/>
        <v>-107.24508323895472</v>
      </c>
    </row>
    <row r="344" spans="42:62" x14ac:dyDescent="0.25">
      <c r="AP344" s="1">
        <v>339</v>
      </c>
      <c r="AQ344" s="7">
        <f t="shared" si="67"/>
        <v>-64792.515736749912</v>
      </c>
      <c r="AR344" s="7">
        <f t="shared" si="68"/>
        <v>53344.935460642322</v>
      </c>
      <c r="AS344" s="7"/>
      <c r="AT344" s="7">
        <f t="shared" si="69"/>
        <v>-1678.5017912988258</v>
      </c>
      <c r="AU344" s="7">
        <f t="shared" si="70"/>
        <v>-125.11329819558807</v>
      </c>
      <c r="AV344" s="7"/>
      <c r="AX344" s="7">
        <f t="shared" si="71"/>
        <v>48.781112295899725</v>
      </c>
      <c r="AY344" s="7">
        <f t="shared" si="72"/>
        <v>-26.374579471695103</v>
      </c>
      <c r="BB344" s="7">
        <f t="shared" si="73"/>
        <v>32.600281181570438</v>
      </c>
      <c r="BC344" s="7">
        <f t="shared" si="74"/>
        <v>-31.546722941811101</v>
      </c>
      <c r="BF344" s="7">
        <f t="shared" si="75"/>
        <v>41.059552129784038</v>
      </c>
      <c r="BG344" s="7">
        <f t="shared" si="76"/>
        <v>-46.932503270274744</v>
      </c>
      <c r="BI344" s="10">
        <f t="shared" si="77"/>
        <v>122.44094560725421</v>
      </c>
      <c r="BJ344">
        <f t="shared" si="78"/>
        <v>-104.85380568378095</v>
      </c>
    </row>
    <row r="345" spans="42:62" x14ac:dyDescent="0.25">
      <c r="AP345" s="1">
        <v>340</v>
      </c>
      <c r="AQ345" s="7">
        <f t="shared" si="67"/>
        <v>-65616.46151419841</v>
      </c>
      <c r="AR345" s="7">
        <f t="shared" si="68"/>
        <v>53269.272085834054</v>
      </c>
      <c r="AS345" s="7"/>
      <c r="AT345" s="7">
        <f t="shared" si="69"/>
        <v>-1617.2813184951988</v>
      </c>
      <c r="AU345" s="7">
        <f t="shared" si="70"/>
        <v>-177.54020103747854</v>
      </c>
      <c r="AV345" s="7"/>
      <c r="AX345" s="7">
        <f t="shared" si="71"/>
        <v>48.223429815705494</v>
      </c>
      <c r="AY345" s="7">
        <f t="shared" si="72"/>
        <v>-25.779519979123631</v>
      </c>
      <c r="BB345" s="7">
        <f t="shared" si="73"/>
        <v>32.358160205855249</v>
      </c>
      <c r="BC345" s="7">
        <f t="shared" si="74"/>
        <v>-30.693175044021434</v>
      </c>
      <c r="BF345" s="7">
        <f t="shared" si="75"/>
        <v>40.969229356315147</v>
      </c>
      <c r="BG345" s="7">
        <f t="shared" si="76"/>
        <v>-46.141582603235292</v>
      </c>
      <c r="BI345" s="10">
        <f t="shared" si="77"/>
        <v>121.55081937787588</v>
      </c>
      <c r="BJ345">
        <f t="shared" si="78"/>
        <v>-102.61427762638036</v>
      </c>
    </row>
    <row r="346" spans="42:62" x14ac:dyDescent="0.25">
      <c r="AP346" s="1">
        <v>341</v>
      </c>
      <c r="AQ346" s="7">
        <f t="shared" si="67"/>
        <v>-66409.908321023773</v>
      </c>
      <c r="AR346" s="7">
        <f t="shared" si="68"/>
        <v>53167.675200612015</v>
      </c>
      <c r="AS346" s="7"/>
      <c r="AT346" s="7">
        <f t="shared" si="69"/>
        <v>-1556.5059088062608</v>
      </c>
      <c r="AU346" s="7">
        <f t="shared" si="70"/>
        <v>-228.84733985066873</v>
      </c>
      <c r="AV346" s="7"/>
      <c r="AX346" s="7">
        <f t="shared" si="71"/>
        <v>47.71139375901658</v>
      </c>
      <c r="AY346" s="7">
        <f t="shared" si="72"/>
        <v>-25.215492943939989</v>
      </c>
      <c r="BB346" s="7">
        <f t="shared" si="73"/>
        <v>32.14399699696807</v>
      </c>
      <c r="BC346" s="7">
        <f t="shared" si="74"/>
        <v>-29.898391792038701</v>
      </c>
      <c r="BF346" s="7">
        <f t="shared" si="75"/>
        <v>40.900625149786514</v>
      </c>
      <c r="BG346" s="7">
        <f t="shared" si="76"/>
        <v>-45.401476845359831</v>
      </c>
      <c r="BI346" s="10">
        <f t="shared" si="77"/>
        <v>120.75601590577116</v>
      </c>
      <c r="BJ346">
        <f t="shared" si="78"/>
        <v>-100.51536158133852</v>
      </c>
    </row>
    <row r="347" spans="42:62" x14ac:dyDescent="0.25">
      <c r="AP347" s="1">
        <v>342</v>
      </c>
      <c r="AQ347" s="7">
        <f t="shared" si="67"/>
        <v>-67173.066773438681</v>
      </c>
      <c r="AR347" s="7">
        <f t="shared" si="68"/>
        <v>53040.687110489009</v>
      </c>
      <c r="AS347" s="7"/>
      <c r="AT347" s="7">
        <f t="shared" si="69"/>
        <v>-1496.1279008533752</v>
      </c>
      <c r="AU347" s="7">
        <f t="shared" si="70"/>
        <v>-279.105020641338</v>
      </c>
      <c r="AV347" s="7"/>
      <c r="AX347" s="7">
        <f t="shared" si="71"/>
        <v>47.242468599849531</v>
      </c>
      <c r="AY347" s="7">
        <f t="shared" si="72"/>
        <v>-24.680266055391201</v>
      </c>
      <c r="BB347" s="7">
        <f t="shared" si="73"/>
        <v>31.957064731595079</v>
      </c>
      <c r="BC347" s="7">
        <f t="shared" si="74"/>
        <v>-29.157612980479186</v>
      </c>
      <c r="BF347" s="7">
        <f t="shared" si="75"/>
        <v>40.853584788941561</v>
      </c>
      <c r="BG347" s="7">
        <f t="shared" si="76"/>
        <v>-44.709166271234018</v>
      </c>
      <c r="BI347" s="10">
        <f t="shared" si="77"/>
        <v>120.05311812038617</v>
      </c>
      <c r="BJ347">
        <f t="shared" si="78"/>
        <v>-98.547045307104412</v>
      </c>
    </row>
    <row r="348" spans="42:62" x14ac:dyDescent="0.25">
      <c r="AP348" s="1">
        <v>343</v>
      </c>
      <c r="AQ348" s="7">
        <f t="shared" si="67"/>
        <v>-67906.124084100316</v>
      </c>
      <c r="AR348" s="7">
        <f t="shared" si="68"/>
        <v>52888.816219504952</v>
      </c>
      <c r="AS348" s="7"/>
      <c r="AT348" s="7">
        <f t="shared" si="69"/>
        <v>-1436.1013417931822</v>
      </c>
      <c r="AU348" s="7">
        <f t="shared" si="70"/>
        <v>-328.37854329489022</v>
      </c>
      <c r="AV348" s="7"/>
      <c r="AX348" s="7">
        <f t="shared" si="71"/>
        <v>46.814388976840071</v>
      </c>
      <c r="AY348" s="7">
        <f t="shared" si="72"/>
        <v>-24.17180509136492</v>
      </c>
      <c r="BB348" s="7">
        <f t="shared" si="73"/>
        <v>31.796720300950245</v>
      </c>
      <c r="BC348" s="7">
        <f t="shared" si="74"/>
        <v>-28.466583749843938</v>
      </c>
      <c r="BF348" s="7">
        <f t="shared" si="75"/>
        <v>40.828001689063491</v>
      </c>
      <c r="BG348" s="7">
        <f t="shared" si="76"/>
        <v>-44.061921532041097</v>
      </c>
      <c r="BI348" s="10">
        <f t="shared" si="77"/>
        <v>119.4391109668538</v>
      </c>
      <c r="BJ348">
        <f t="shared" si="78"/>
        <v>-96.700310373249948</v>
      </c>
    </row>
    <row r="349" spans="42:62" x14ac:dyDescent="0.25">
      <c r="AP349" s="1">
        <v>344</v>
      </c>
      <c r="AQ349" s="7">
        <f t="shared" si="67"/>
        <v>-68609.244866126042</v>
      </c>
      <c r="AR349" s="7">
        <f t="shared" si="68"/>
        <v>52712.539409060846</v>
      </c>
      <c r="AS349" s="7"/>
      <c r="AT349" s="7">
        <f t="shared" si="69"/>
        <v>-1376.3817863097554</v>
      </c>
      <c r="AU349" s="7">
        <f t="shared" si="70"/>
        <v>-376.72869848151521</v>
      </c>
      <c r="AV349" s="7"/>
      <c r="AX349" s="7">
        <f t="shared" si="71"/>
        <v>46.425131855796835</v>
      </c>
      <c r="AY349" s="7">
        <f t="shared" si="72"/>
        <v>-23.688251793278461</v>
      </c>
      <c r="BB349" s="7">
        <f t="shared" si="73"/>
        <v>31.662405172824748</v>
      </c>
      <c r="BC349" s="7">
        <f t="shared" si="74"/>
        <v>-27.82149223783464</v>
      </c>
      <c r="BF349" s="7">
        <f t="shared" si="75"/>
        <v>40.823818650447905</v>
      </c>
      <c r="BG349" s="7">
        <f t="shared" si="76"/>
        <v>-43.45727472499641</v>
      </c>
      <c r="BI349" s="10">
        <f t="shared" si="77"/>
        <v>118.91135567906949</v>
      </c>
      <c r="BJ349">
        <f t="shared" si="78"/>
        <v>-94.967018756109496</v>
      </c>
    </row>
    <row r="350" spans="42:62" x14ac:dyDescent="0.25">
      <c r="AP350" s="1">
        <v>345</v>
      </c>
      <c r="AQ350" s="7">
        <f t="shared" si="67"/>
        <v>-69282.571839821045</v>
      </c>
      <c r="AR350" s="7">
        <f t="shared" si="68"/>
        <v>52512.304182475578</v>
      </c>
      <c r="AS350" s="7"/>
      <c r="AT350" s="7">
        <f t="shared" si="69"/>
        <v>-1316.9261084702207</v>
      </c>
      <c r="AU350" s="7">
        <f t="shared" si="70"/>
        <v>-424.21220785956996</v>
      </c>
      <c r="AV350" s="7"/>
      <c r="AX350" s="7">
        <f t="shared" si="71"/>
        <v>46.072892519166857</v>
      </c>
      <c r="AY350" s="7">
        <f t="shared" si="72"/>
        <v>-23.22790450481045</v>
      </c>
      <c r="BB350" s="7">
        <f t="shared" si="73"/>
        <v>31.553645709492322</v>
      </c>
      <c r="BC350" s="7">
        <f t="shared" si="74"/>
        <v>-27.218916026296284</v>
      </c>
      <c r="BF350" s="7">
        <f t="shared" si="75"/>
        <v>40.841029086939081</v>
      </c>
      <c r="BG350" s="7">
        <f t="shared" si="76"/>
        <v>-42.892994165095303</v>
      </c>
      <c r="BI350" s="10">
        <f t="shared" si="77"/>
        <v>118.46756731559826</v>
      </c>
      <c r="BJ350">
        <f t="shared" si="78"/>
        <v>-93.339814696202041</v>
      </c>
    </row>
    <row r="351" spans="42:62" x14ac:dyDescent="0.25">
      <c r="AP351" s="1">
        <v>346</v>
      </c>
      <c r="AQ351" s="7">
        <f t="shared" si="67"/>
        <v>-69926.226448141708</v>
      </c>
      <c r="AR351" s="7">
        <f t="shared" si="68"/>
        <v>52288.530601708764</v>
      </c>
      <c r="AS351" s="7"/>
      <c r="AT351" s="7">
        <f t="shared" si="69"/>
        <v>-1257.6923248124215</v>
      </c>
      <c r="AU351" s="7">
        <f t="shared" si="70"/>
        <v>-470.88211520767095</v>
      </c>
      <c r="AV351" s="7"/>
      <c r="AX351" s="7">
        <f t="shared" si="71"/>
        <v>45.756063830231831</v>
      </c>
      <c r="AY351" s="7">
        <f t="shared" si="72"/>
        <v>-22.789201170983048</v>
      </c>
      <c r="BB351" s="7">
        <f t="shared" si="73"/>
        <v>31.470053213119545</v>
      </c>
      <c r="BC351" s="7">
        <f t="shared" si="74"/>
        <v>-26.655775992257936</v>
      </c>
      <c r="BF351" s="7">
        <f t="shared" si="75"/>
        <v>40.879678304249218</v>
      </c>
      <c r="BG351" s="7">
        <f t="shared" si="76"/>
        <v>-42.367062357467631</v>
      </c>
      <c r="BI351" s="10">
        <f t="shared" si="77"/>
        <v>118.1057953476006</v>
      </c>
      <c r="BJ351">
        <f t="shared" si="78"/>
        <v>-91.812039520708609</v>
      </c>
    </row>
    <row r="352" spans="42:62" x14ac:dyDescent="0.25">
      <c r="AP352" s="1">
        <v>347</v>
      </c>
      <c r="AQ352" s="7">
        <f t="shared" si="67"/>
        <v>-70540.309386129462</v>
      </c>
      <c r="AR352" s="7">
        <f t="shared" si="68"/>
        <v>52041.61303916484</v>
      </c>
      <c r="AS352" s="7"/>
      <c r="AT352" s="7">
        <f t="shared" si="69"/>
        <v>-1198.6394271386212</v>
      </c>
      <c r="AU352" s="7">
        <f t="shared" si="70"/>
        <v>-516.78813496802525</v>
      </c>
      <c r="AV352" s="7"/>
      <c r="AX352" s="7">
        <f t="shared" si="71"/>
        <v>45.473218313361485</v>
      </c>
      <c r="AY352" s="7">
        <f t="shared" si="72"/>
        <v>-22.370704358002836</v>
      </c>
      <c r="BB352" s="7">
        <f t="shared" si="73"/>
        <v>31.411323904902648</v>
      </c>
      <c r="BC352" s="7">
        <f t="shared" si="74"/>
        <v>-26.129296411078418</v>
      </c>
      <c r="BF352" s="7">
        <f t="shared" si="75"/>
        <v>40.939864887253734</v>
      </c>
      <c r="BG352" s="7">
        <f t="shared" si="76"/>
        <v>-41.877656748257927</v>
      </c>
      <c r="BI352" s="10">
        <f t="shared" si="77"/>
        <v>117.82440710551786</v>
      </c>
      <c r="BJ352">
        <f t="shared" si="78"/>
        <v>-90.377657517339188</v>
      </c>
    </row>
    <row r="353" spans="42:62" x14ac:dyDescent="0.25">
      <c r="AP353" s="1">
        <v>348</v>
      </c>
      <c r="AQ353" s="7">
        <f t="shared" si="67"/>
        <v>-71124.901048810571</v>
      </c>
      <c r="AR353" s="7">
        <f t="shared" si="68"/>
        <v>51771.921764491162</v>
      </c>
      <c r="AS353" s="7"/>
      <c r="AT353" s="7">
        <f t="shared" si="69"/>
        <v>-1139.7272235858622</v>
      </c>
      <c r="AU353" s="7">
        <f t="shared" si="70"/>
        <v>-561.97696372669486</v>
      </c>
      <c r="AV353" s="7"/>
      <c r="AX353" s="7">
        <f t="shared" si="71"/>
        <v>45.223092668254637</v>
      </c>
      <c r="AY353" s="7">
        <f t="shared" si="72"/>
        <v>-21.971088006832311</v>
      </c>
      <c r="BB353" s="7">
        <f t="shared" si="73"/>
        <v>31.377238996647453</v>
      </c>
      <c r="BC353" s="7">
        <f t="shared" si="74"/>
        <v>-25.63697035427694</v>
      </c>
      <c r="BF353" s="7">
        <f t="shared" si="75"/>
        <v>41.02174224796709</v>
      </c>
      <c r="BG353" s="7">
        <f t="shared" si="76"/>
        <v>-41.423132898187532</v>
      </c>
      <c r="BI353" s="10">
        <f t="shared" si="77"/>
        <v>117.62207391286918</v>
      </c>
      <c r="BJ353">
        <f t="shared" si="78"/>
        <v>-89.031191259296776</v>
      </c>
    </row>
    <row r="354" spans="42:62" x14ac:dyDescent="0.25">
      <c r="AP354" s="1">
        <v>349</v>
      </c>
      <c r="AQ354" s="7">
        <f t="shared" si="67"/>
        <v>-71680.061901364388</v>
      </c>
      <c r="AR354" s="7">
        <f t="shared" si="68"/>
        <v>51479.804383720402</v>
      </c>
      <c r="AS354" s="7"/>
      <c r="AT354" s="7">
        <f t="shared" si="69"/>
        <v>-1080.9161866294276</v>
      </c>
      <c r="AU354" s="7">
        <f t="shared" si="70"/>
        <v>-606.49255935634324</v>
      </c>
      <c r="AV354" s="7"/>
      <c r="AX354" s="7">
        <f t="shared" si="71"/>
        <v>45.004574399308623</v>
      </c>
      <c r="AY354" s="7">
        <f t="shared" si="72"/>
        <v>-21.589125676896259</v>
      </c>
      <c r="BB354" s="7">
        <f t="shared" si="73"/>
        <v>31.36766497941932</v>
      </c>
      <c r="BC354" s="7">
        <f t="shared" si="74"/>
        <v>-25.176529583182248</v>
      </c>
      <c r="BF354" s="7">
        <f t="shared" si="75"/>
        <v>41.125520380908128</v>
      </c>
      <c r="BG354" s="7">
        <f t="shared" si="76"/>
        <v>-41.002009778361298</v>
      </c>
      <c r="BI354" s="10">
        <f t="shared" si="77"/>
        <v>117.49775975963607</v>
      </c>
      <c r="BJ354">
        <f t="shared" si="78"/>
        <v>-87.767665038439802</v>
      </c>
    </row>
    <row r="355" spans="42:62" x14ac:dyDescent="0.25">
      <c r="AP355" s="1">
        <v>350</v>
      </c>
      <c r="AQ355" s="7">
        <f t="shared" si="67"/>
        <v>-72205.832774709139</v>
      </c>
      <c r="AR355" s="7">
        <f t="shared" si="68"/>
        <v>51165.587145912425</v>
      </c>
      <c r="AS355" s="7"/>
      <c r="AT355" s="7">
        <f t="shared" si="69"/>
        <v>-1022.1673067496096</v>
      </c>
      <c r="AU355" s="7">
        <f t="shared" si="70"/>
        <v>-650.37639187556317</v>
      </c>
      <c r="AV355" s="7"/>
      <c r="AX355" s="7">
        <f t="shared" si="71"/>
        <v>44.816690293599592</v>
      </c>
      <c r="AY355" s="7">
        <f t="shared" si="72"/>
        <v>-21.22368007225792</v>
      </c>
      <c r="BB355" s="7">
        <f t="shared" si="73"/>
        <v>31.382554229928047</v>
      </c>
      <c r="BC355" s="7">
        <f t="shared" si="74"/>
        <v>-24.745918269103278</v>
      </c>
      <c r="BF355" s="7">
        <f t="shared" si="75"/>
        <v>41.251467869580097</v>
      </c>
      <c r="BG355" s="7">
        <f t="shared" si="76"/>
        <v>-40.612956934426158</v>
      </c>
      <c r="BI355" s="10">
        <f t="shared" si="77"/>
        <v>117.45071239310774</v>
      </c>
      <c r="BJ355">
        <f t="shared" si="78"/>
        <v>-86.582555275787357</v>
      </c>
    </row>
    <row r="356" spans="42:62" x14ac:dyDescent="0.25">
      <c r="AP356" s="1">
        <v>351</v>
      </c>
      <c r="AQ356" s="7">
        <f t="shared" si="67"/>
        <v>-72702.235089034803</v>
      </c>
      <c r="AR356" s="7">
        <f t="shared" si="68"/>
        <v>50829.576130565176</v>
      </c>
      <c r="AS356" s="7"/>
      <c r="AT356" s="7">
        <f t="shared" si="69"/>
        <v>-963.44195055305568</v>
      </c>
      <c r="AU356" s="7">
        <f t="shared" si="70"/>
        <v>-693.66766951345687</v>
      </c>
      <c r="AV356" s="7"/>
      <c r="AX356" s="7">
        <f t="shared" si="71"/>
        <v>44.658596524627661</v>
      </c>
      <c r="AY356" s="7">
        <f t="shared" si="72"/>
        <v>-20.873693672429393</v>
      </c>
      <c r="BB356" s="7">
        <f t="shared" si="73"/>
        <v>31.421946019114664</v>
      </c>
      <c r="BC356" s="7">
        <f t="shared" si="74"/>
        <v>-24.343269976890987</v>
      </c>
      <c r="BF356" s="7">
        <f t="shared" si="75"/>
        <v>41.399914186558988</v>
      </c>
      <c r="BG356" s="7">
        <f t="shared" si="76"/>
        <v>-40.254783304552255</v>
      </c>
      <c r="BI356" s="10">
        <f t="shared" si="77"/>
        <v>117.48045673030131</v>
      </c>
      <c r="BJ356">
        <f t="shared" si="78"/>
        <v>-85.471746953872639</v>
      </c>
    </row>
    <row r="357" spans="42:62" x14ac:dyDescent="0.25">
      <c r="AP357" s="1">
        <v>352</v>
      </c>
      <c r="AQ357" s="7">
        <f t="shared" si="67"/>
        <v>-73169.271007220043</v>
      </c>
      <c r="AR357" s="7">
        <f t="shared" si="68"/>
        <v>50472.058327439219</v>
      </c>
      <c r="AS357" s="7"/>
      <c r="AT357" s="7">
        <f t="shared" si="69"/>
        <v>-904.70172218790503</v>
      </c>
      <c r="AU357" s="7">
        <f t="shared" si="70"/>
        <v>-736.40354299039313</v>
      </c>
      <c r="AV357" s="7"/>
      <c r="AX357" s="7">
        <f t="shared" si="71"/>
        <v>44.529570195592754</v>
      </c>
      <c r="AY357" s="7">
        <f t="shared" si="72"/>
        <v>-20.538180314757685</v>
      </c>
      <c r="BB357" s="7">
        <f t="shared" si="73"/>
        <v>31.485967997218491</v>
      </c>
      <c r="BC357" s="7">
        <f t="shared" si="74"/>
        <v>-23.966887435907658</v>
      </c>
      <c r="BF357" s="7">
        <f t="shared" si="75"/>
        <v>41.571252329910223</v>
      </c>
      <c r="BG357" s="7">
        <f t="shared" si="76"/>
        <v>-39.926427510135845</v>
      </c>
      <c r="BI357" s="10">
        <f t="shared" si="77"/>
        <v>117.58679052272147</v>
      </c>
      <c r="BJ357">
        <f t="shared" si="78"/>
        <v>-84.431495260801185</v>
      </c>
    </row>
    <row r="358" spans="42:62" x14ac:dyDescent="0.25">
      <c r="AP358" s="1">
        <v>353</v>
      </c>
      <c r="AQ358" s="7">
        <f t="shared" si="67"/>
        <v>-73606.923519498654</v>
      </c>
      <c r="AR358" s="7">
        <f t="shared" si="68"/>
        <v>50093.302619036425</v>
      </c>
      <c r="AS358" s="7"/>
      <c r="AT358" s="7">
        <f t="shared" si="69"/>
        <v>-845.90832692654431</v>
      </c>
      <c r="AU358" s="7">
        <f t="shared" si="70"/>
        <v>-778.61929062079378</v>
      </c>
      <c r="AV358" s="7"/>
      <c r="AX358" s="7">
        <f t="shared" si="71"/>
        <v>44.429002166889951</v>
      </c>
      <c r="AY358" s="7">
        <f t="shared" si="72"/>
        <v>-20.216217595934342</v>
      </c>
      <c r="BB358" s="7">
        <f t="shared" si="73"/>
        <v>31.574838224227115</v>
      </c>
      <c r="BC358" s="7">
        <f t="shared" si="74"/>
        <v>-23.615224694075035</v>
      </c>
      <c r="BF358" s="7">
        <f t="shared" si="75"/>
        <v>41.765941840279346</v>
      </c>
      <c r="BG358" s="7">
        <f t="shared" si="76"/>
        <v>-39.626949466779493</v>
      </c>
      <c r="BI358" s="10">
        <f t="shared" si="77"/>
        <v>117.76978223139642</v>
      </c>
      <c r="BJ358">
        <f t="shared" si="78"/>
        <v>-83.45839175678887</v>
      </c>
    </row>
    <row r="359" spans="42:62" x14ac:dyDescent="0.25">
      <c r="AP359" s="1">
        <v>354</v>
      </c>
      <c r="AQ359" s="7">
        <f t="shared" si="67"/>
        <v>-74015.156460183003</v>
      </c>
      <c r="AR359" s="7">
        <f t="shared" si="68"/>
        <v>49693.560674756431</v>
      </c>
      <c r="AS359" s="7"/>
      <c r="AT359" s="7">
        <f t="shared" si="69"/>
        <v>-787.02343581084608</v>
      </c>
      <c r="AU359" s="7">
        <f t="shared" si="70"/>
        <v>-820.3484864991882</v>
      </c>
      <c r="AV359" s="7"/>
      <c r="AX359" s="7">
        <f t="shared" si="71"/>
        <v>44.356391038861958</v>
      </c>
      <c r="AY359" s="7">
        <f t="shared" si="72"/>
        <v>-19.906939977322477</v>
      </c>
      <c r="BB359" s="7">
        <f t="shared" si="73"/>
        <v>31.688867813112946</v>
      </c>
      <c r="BC359" s="7">
        <f t="shared" si="74"/>
        <v>-23.286871309561938</v>
      </c>
      <c r="BF359" s="7">
        <f t="shared" si="75"/>
        <v>41.984512245877482</v>
      </c>
      <c r="BG359" s="7">
        <f t="shared" si="76"/>
        <v>-39.355523187805098</v>
      </c>
      <c r="BI359" s="10">
        <f t="shared" si="77"/>
        <v>118.02977109785239</v>
      </c>
      <c r="BJ359">
        <f t="shared" si="78"/>
        <v>-82.549334474689516</v>
      </c>
    </row>
    <row r="360" spans="42:62" x14ac:dyDescent="0.25">
      <c r="AP360" s="1">
        <v>355</v>
      </c>
      <c r="AQ360" s="7">
        <f t="shared" si="67"/>
        <v>-74393.914456701197</v>
      </c>
      <c r="AR360" s="7">
        <f t="shared" si="68"/>
        <v>49273.067764697502</v>
      </c>
      <c r="AS360" s="7"/>
      <c r="AT360" s="7">
        <f t="shared" si="69"/>
        <v>-728.00855026191994</v>
      </c>
      <c r="AU360" s="7">
        <f t="shared" si="70"/>
        <v>-861.62315373653291</v>
      </c>
      <c r="AV360" s="7"/>
      <c r="AX360" s="7">
        <f t="shared" si="71"/>
        <v>44.31133818341727</v>
      </c>
      <c r="AY360" s="7">
        <f t="shared" si="72"/>
        <v>-19.609532493001833</v>
      </c>
      <c r="BB360" s="7">
        <f t="shared" si="73"/>
        <v>31.828464255121304</v>
      </c>
      <c r="BC360" s="7">
        <f t="shared" si="74"/>
        <v>-22.980538283058504</v>
      </c>
      <c r="BF360" s="7">
        <f t="shared" si="75"/>
        <v>42.227566986727787</v>
      </c>
      <c r="BG360" s="7">
        <f t="shared" si="76"/>
        <v>-39.111430674079301</v>
      </c>
      <c r="BI360" s="10">
        <f t="shared" si="77"/>
        <v>118.36736942526636</v>
      </c>
      <c r="BJ360">
        <f t="shared" si="78"/>
        <v>-81.701501450139645</v>
      </c>
    </row>
    <row r="361" spans="42:62" x14ac:dyDescent="0.25">
      <c r="AP361" s="1">
        <v>356</v>
      </c>
      <c r="AQ361" s="7">
        <f t="shared" si="67"/>
        <v>-74743.122810654007</v>
      </c>
      <c r="AR361" s="7">
        <f t="shared" si="68"/>
        <v>48832.043500147964</v>
      </c>
      <c r="AS361" s="7"/>
      <c r="AT361" s="7">
        <f t="shared" si="69"/>
        <v>-668.82486554928676</v>
      </c>
      <c r="AU361" s="7">
        <f t="shared" si="70"/>
        <v>-902.47390446160273</v>
      </c>
      <c r="AV361" s="7"/>
      <c r="AX361" s="7">
        <f t="shared" si="71"/>
        <v>44.293543737769795</v>
      </c>
      <c r="AY361" s="7">
        <f t="shared" si="72"/>
        <v>-19.323224971209601</v>
      </c>
      <c r="BB361" s="7">
        <f t="shared" si="73"/>
        <v>31.99413550115991</v>
      </c>
      <c r="BC361" s="7">
        <f t="shared" si="74"/>
        <v>-22.695045473161731</v>
      </c>
      <c r="BF361" s="7">
        <f t="shared" si="75"/>
        <v>42.495787874958282</v>
      </c>
      <c r="BG361" s="7">
        <f t="shared" si="76"/>
        <v>-38.894056802874054</v>
      </c>
      <c r="BI361" s="10">
        <f t="shared" si="77"/>
        <v>118.78346711388798</v>
      </c>
      <c r="BJ361">
        <f t="shared" si="78"/>
        <v>-80.912327247245386</v>
      </c>
    </row>
    <row r="362" spans="42:62" x14ac:dyDescent="0.25">
      <c r="AP362" s="1">
        <v>357</v>
      </c>
      <c r="AQ362" s="7">
        <f t="shared" si="67"/>
        <v>-75062.687310039415</v>
      </c>
      <c r="AR362" s="7">
        <f t="shared" si="68"/>
        <v>48370.692507011256</v>
      </c>
      <c r="AS362" s="7"/>
      <c r="AT362" s="7">
        <f t="shared" si="69"/>
        <v>-609.43313199234274</v>
      </c>
      <c r="AU362" s="7">
        <f t="shared" si="70"/>
        <v>-942.93006808522546</v>
      </c>
      <c r="AV362" s="7"/>
      <c r="AX362" s="7">
        <f t="shared" si="71"/>
        <v>44.302803490740402</v>
      </c>
      <c r="AY362" s="7">
        <f t="shared" si="72"/>
        <v>-19.047286689499806</v>
      </c>
      <c r="BB362" s="7">
        <f t="shared" si="73"/>
        <v>32.186494880898103</v>
      </c>
      <c r="BC362" s="7">
        <f t="shared" si="74"/>
        <v>-22.429310269574437</v>
      </c>
      <c r="BF362" s="7">
        <f t="shared" si="75"/>
        <v>42.789940154721009</v>
      </c>
      <c r="BG362" s="7">
        <f t="shared" si="76"/>
        <v>-38.702885145395847</v>
      </c>
      <c r="BI362" s="10">
        <f t="shared" si="77"/>
        <v>119.27923852635952</v>
      </c>
      <c r="BJ362">
        <f t="shared" si="78"/>
        <v>-80.179482104470083</v>
      </c>
    </row>
    <row r="363" spans="42:62" x14ac:dyDescent="0.25">
      <c r="AP363" s="1">
        <v>358</v>
      </c>
      <c r="AQ363" s="7">
        <f t="shared" si="67"/>
        <v>-75352.493971219796</v>
      </c>
      <c r="AR363" s="7">
        <f t="shared" si="68"/>
        <v>47889.205037705578</v>
      </c>
      <c r="AS363" s="7"/>
      <c r="AT363" s="7">
        <f t="shared" si="69"/>
        <v>-549.79351272916301</v>
      </c>
      <c r="AU363" s="7">
        <f t="shared" si="70"/>
        <v>-983.01980913746047</v>
      </c>
      <c r="AV363" s="7"/>
      <c r="AX363" s="7">
        <f t="shared" si="71"/>
        <v>44.339006607411086</v>
      </c>
      <c r="AY363" s="7">
        <f t="shared" si="72"/>
        <v>-18.781021391799467</v>
      </c>
      <c r="BB363" s="7">
        <f t="shared" si="73"/>
        <v>32.406266951462108</v>
      </c>
      <c r="BC363" s="7">
        <f t="shared" si="74"/>
        <v>-22.182337324655727</v>
      </c>
      <c r="BF363" s="7">
        <f t="shared" si="75"/>
        <v>43.110878233578347</v>
      </c>
      <c r="BG363" s="7">
        <f t="shared" si="76"/>
        <v>-38.537494657917662</v>
      </c>
      <c r="BI363" s="10">
        <f t="shared" si="77"/>
        <v>119.85615179245153</v>
      </c>
      <c r="BJ363">
        <f t="shared" si="78"/>
        <v>-79.500853374372852</v>
      </c>
    </row>
    <row r="364" spans="42:62" x14ac:dyDescent="0.25">
      <c r="AP364" s="1">
        <v>359</v>
      </c>
      <c r="AQ364" s="7">
        <f t="shared" si="67"/>
        <v>-75612.408708610325</v>
      </c>
      <c r="AR364" s="7">
        <f t="shared" si="68"/>
        <v>47387.757526465051</v>
      </c>
      <c r="AS364" s="7"/>
      <c r="AT364" s="7">
        <f t="shared" si="69"/>
        <v>-489.86543683293723</v>
      </c>
      <c r="AU364" s="7">
        <f t="shared" si="70"/>
        <v>-1022.7702358246469</v>
      </c>
      <c r="AV364" s="7"/>
      <c r="AX364" s="7">
        <f t="shared" si="71"/>
        <v>44.402134151779443</v>
      </c>
      <c r="AY364" s="7">
        <f t="shared" si="72"/>
        <v>-18.523762601791411</v>
      </c>
      <c r="BB364" s="7">
        <f t="shared" si="73"/>
        <v>32.654294380683027</v>
      </c>
      <c r="BC364" s="7">
        <f t="shared" si="74"/>
        <v>-21.953209164158412</v>
      </c>
      <c r="BF364" s="7">
        <f t="shared" si="75"/>
        <v>43.45955216713967</v>
      </c>
      <c r="BG364" s="7">
        <f t="shared" si="76"/>
        <v>-38.397557205574451</v>
      </c>
      <c r="BI364" s="10">
        <f t="shared" si="77"/>
        <v>120.51598069960215</v>
      </c>
      <c r="BJ364">
        <f t="shared" si="78"/>
        <v>-78.874528971524285</v>
      </c>
    </row>
    <row r="365" spans="42:62" x14ac:dyDescent="0.25">
      <c r="AP365" s="1">
        <v>360</v>
      </c>
      <c r="AQ365" s="7">
        <f t="shared" si="67"/>
        <v>-75842.276929439351</v>
      </c>
      <c r="AR365" s="7">
        <f t="shared" si="68"/>
        <v>46866.513092431291</v>
      </c>
      <c r="AS365" s="7"/>
      <c r="AT365" s="7">
        <f t="shared" si="69"/>
        <v>-429.60744648313619</v>
      </c>
      <c r="AU365" s="7">
        <f t="shared" si="70"/>
        <v>-1062.2075003104089</v>
      </c>
      <c r="AV365" s="7"/>
      <c r="AX365" s="7">
        <f t="shared" si="71"/>
        <v>44.492258379849737</v>
      </c>
      <c r="AY365" s="7">
        <f t="shared" si="72"/>
        <v>-18.274869171896626</v>
      </c>
      <c r="BB365" s="7">
        <f t="shared" si="73"/>
        <v>32.931545985990056</v>
      </c>
      <c r="BC365" s="7">
        <f t="shared" si="74"/>
        <v>-21.741077513378798</v>
      </c>
      <c r="BF365" s="7">
        <f t="shared" si="75"/>
        <v>43.837014990556092</v>
      </c>
      <c r="BG365" s="7">
        <f t="shared" si="76"/>
        <v>-38.282835891167181</v>
      </c>
      <c r="BI365" s="10">
        <f t="shared" si="77"/>
        <v>121.2608193563959</v>
      </c>
      <c r="BJ365">
        <f t="shared" si="78"/>
        <v>-78.298782576442605</v>
      </c>
    </row>
    <row r="366" spans="42:62" x14ac:dyDescent="0.25">
      <c r="AP366" s="1">
        <v>361</v>
      </c>
      <c r="AQ366" s="7">
        <f t="shared" si="67"/>
        <v>-76041.923050261365</v>
      </c>
      <c r="AR366" s="7">
        <f t="shared" si="68"/>
        <v>46325.621994454028</v>
      </c>
      <c r="AS366" s="7"/>
      <c r="AT366" s="7">
        <f t="shared" si="69"/>
        <v>-368.97703680493822</v>
      </c>
      <c r="AU366" s="7">
        <f t="shared" si="70"/>
        <v>-1101.3568915986302</v>
      </c>
      <c r="AV366" s="7"/>
      <c r="AX366" s="7">
        <f t="shared" si="71"/>
        <v>44.609542787628122</v>
      </c>
      <c r="AY366" s="7">
        <f t="shared" si="72"/>
        <v>-18.033721010682729</v>
      </c>
      <c r="BB366" s="7">
        <f t="shared" si="73"/>
        <v>33.239126069522236</v>
      </c>
      <c r="BC366" s="7">
        <f t="shared" si="74"/>
        <v>-21.5451551857808</v>
      </c>
      <c r="BF366" s="7">
        <f t="shared" si="75"/>
        <v>44.244431004507554</v>
      </c>
      <c r="BG366" s="7">
        <f t="shared" si="76"/>
        <v>-38.193184174117732</v>
      </c>
      <c r="BI366" s="10">
        <f t="shared" si="77"/>
        <v>122.09309986165792</v>
      </c>
      <c r="BJ366">
        <f t="shared" si="78"/>
        <v>-77.772060370581258</v>
      </c>
    </row>
    <row r="367" spans="42:62" x14ac:dyDescent="0.25">
      <c r="AP367" s="1">
        <v>362</v>
      </c>
      <c r="AQ367" s="7">
        <f t="shared" si="67"/>
        <v>-76211.149931181135</v>
      </c>
      <c r="AR367" s="7">
        <f t="shared" si="68"/>
        <v>45765.222041108391</v>
      </c>
      <c r="AS367" s="7"/>
      <c r="AT367" s="7">
        <f t="shared" si="69"/>
        <v>-307.93048687410925</v>
      </c>
      <c r="AU367" s="7">
        <f t="shared" si="70"/>
        <v>-1140.2429217839208</v>
      </c>
      <c r="AV367" s="7"/>
      <c r="AX367" s="7">
        <f t="shared" si="71"/>
        <v>44.75424291006933</v>
      </c>
      <c r="AY367" s="7">
        <f t="shared" si="72"/>
        <v>-17.799714933876789</v>
      </c>
      <c r="BB367" s="7">
        <f t="shared" si="73"/>
        <v>33.578285213397066</v>
      </c>
      <c r="BC367" s="7">
        <f t="shared" si="74"/>
        <v>-21.364708387697238</v>
      </c>
      <c r="BF367" s="7">
        <f t="shared" si="75"/>
        <v>44.683085139919299</v>
      </c>
      <c r="BG367" s="7">
        <f t="shared" si="76"/>
        <v>-38.128545777352421</v>
      </c>
      <c r="BI367" s="10">
        <f t="shared" si="77"/>
        <v>123.01561326338569</v>
      </c>
      <c r="BJ367">
        <f t="shared" si="78"/>
        <v>-77.292969098926449</v>
      </c>
    </row>
    <row r="368" spans="42:62" x14ac:dyDescent="0.25">
      <c r="AP368" s="1">
        <v>363</v>
      </c>
      <c r="AQ368" s="7">
        <f t="shared" si="67"/>
        <v>-76349.738222960266</v>
      </c>
      <c r="AR368" s="7">
        <f t="shared" si="68"/>
        <v>45185.43895907906</v>
      </c>
      <c r="AS368" s="7"/>
      <c r="AT368" s="7">
        <f t="shared" si="69"/>
        <v>-246.42268024241639</v>
      </c>
      <c r="AU368" s="7">
        <f t="shared" si="70"/>
        <v>-1178.8894063333839</v>
      </c>
      <c r="AV368" s="7"/>
      <c r="AX368" s="7">
        <f t="shared" si="71"/>
        <v>44.926707878437412</v>
      </c>
      <c r="AY368" s="7">
        <f t="shared" si="72"/>
        <v>-17.572260585361569</v>
      </c>
      <c r="BB368" s="7">
        <f t="shared" si="73"/>
        <v>33.950432726952158</v>
      </c>
      <c r="BC368" s="7">
        <f t="shared" si="74"/>
        <v>-21.199049294993166</v>
      </c>
      <c r="BF368" s="7">
        <f t="shared" si="75"/>
        <v>45.154393545265961</v>
      </c>
      <c r="BG368" s="7">
        <f t="shared" si="76"/>
        <v>-38.088955392667508</v>
      </c>
      <c r="BI368" s="10">
        <f t="shared" si="77"/>
        <v>124.03153415065553</v>
      </c>
      <c r="BJ368">
        <f t="shared" si="78"/>
        <v>-76.860265273022236</v>
      </c>
    </row>
    <row r="369" spans="42:62" x14ac:dyDescent="0.25">
      <c r="AP369" s="1">
        <v>364</v>
      </c>
      <c r="AQ369" s="7">
        <f t="shared" si="67"/>
        <v>-76457.44562131264</v>
      </c>
      <c r="AR369" s="7">
        <f t="shared" si="68"/>
        <v>44586.386722753239</v>
      </c>
      <c r="AS369" s="7"/>
      <c r="AT369" s="7">
        <f t="shared" si="69"/>
        <v>-184.40691316708862</v>
      </c>
      <c r="AU369" s="7">
        <f t="shared" si="70"/>
        <v>-1217.3195389698951</v>
      </c>
      <c r="AV369" s="7"/>
      <c r="AX369" s="7">
        <f t="shared" si="71"/>
        <v>45.127382755074485</v>
      </c>
      <c r="AY369" s="7">
        <f t="shared" si="72"/>
        <v>-17.350776374598574</v>
      </c>
      <c r="BB369" s="7">
        <f t="shared" si="73"/>
        <v>34.357150970944325</v>
      </c>
      <c r="BC369" s="7">
        <f t="shared" si="74"/>
        <v>-21.047528755436982</v>
      </c>
      <c r="BF369" s="7">
        <f t="shared" si="75"/>
        <v>45.659915563584399</v>
      </c>
      <c r="BG369" s="7">
        <f t="shared" si="76"/>
        <v>-38.074540208424835</v>
      </c>
      <c r="BI369" s="10">
        <f t="shared" si="77"/>
        <v>125.14444928960322</v>
      </c>
      <c r="BJ369">
        <f t="shared" si="78"/>
        <v>-76.472845338460388</v>
      </c>
    </row>
    <row r="370" spans="42:62" x14ac:dyDescent="0.25">
      <c r="AP370" s="1">
        <v>365</v>
      </c>
      <c r="AQ370" s="7">
        <f t="shared" si="67"/>
        <v>-76534.006021734982</v>
      </c>
      <c r="AR370" s="7">
        <f t="shared" si="68"/>
        <v>43968.167847600984</v>
      </c>
      <c r="AS370" s="7"/>
      <c r="AT370" s="7">
        <f t="shared" si="69"/>
        <v>-121.83468852228701</v>
      </c>
      <c r="AU370" s="7">
        <f t="shared" si="70"/>
        <v>-1255.5559616391254</v>
      </c>
      <c r="AV370" s="7"/>
      <c r="AX370" s="7">
        <f t="shared" si="71"/>
        <v>45.356811676493535</v>
      </c>
      <c r="AY370" s="7">
        <f t="shared" si="72"/>
        <v>-17.134685375824688</v>
      </c>
      <c r="BB370" s="7">
        <f t="shared" si="73"/>
        <v>34.800211823217118</v>
      </c>
      <c r="BC370" s="7">
        <f t="shared" si="74"/>
        <v>-20.909528963658424</v>
      </c>
      <c r="BF370" s="7">
        <f t="shared" si="75"/>
        <v>46.201367293865736</v>
      </c>
      <c r="BG370" s="7">
        <f t="shared" si="76"/>
        <v>-38.085522297542639</v>
      </c>
      <c r="BI370" s="10">
        <f t="shared" si="77"/>
        <v>126.35839079357639</v>
      </c>
      <c r="BJ370">
        <f t="shared" si="78"/>
        <v>-76.129736637025758</v>
      </c>
    </row>
    <row r="371" spans="42:62" x14ac:dyDescent="0.25">
      <c r="AP371" s="1">
        <v>366</v>
      </c>
      <c r="AQ371" s="7">
        <f t="shared" si="67"/>
        <v>-76579.128567146938</v>
      </c>
      <c r="AR371" s="7">
        <f t="shared" si="68"/>
        <v>43330.873649701796</v>
      </c>
      <c r="AS371" s="7"/>
      <c r="AT371" s="7">
        <f t="shared" si="69"/>
        <v>-58.655493125498815</v>
      </c>
      <c r="AU371" s="7">
        <f t="shared" si="70"/>
        <v>-1293.6208299576383</v>
      </c>
      <c r="AV371" s="7"/>
      <c r="AX371" s="7">
        <f t="shared" si="71"/>
        <v>45.615641848315846</v>
      </c>
      <c r="AY371" s="7">
        <f t="shared" si="72"/>
        <v>-16.923411132051161</v>
      </c>
      <c r="BB371" s="7">
        <f t="shared" si="73"/>
        <v>35.281595597491886</v>
      </c>
      <c r="BC371" s="7">
        <f t="shared" si="74"/>
        <v>-20.784455943400836</v>
      </c>
      <c r="BF371" s="7">
        <f t="shared" si="75"/>
        <v>46.780636964293329</v>
      </c>
      <c r="BG371" s="7">
        <f t="shared" si="76"/>
        <v>-38.12222191915864</v>
      </c>
      <c r="BI371" s="10">
        <f t="shared" si="77"/>
        <v>127.67787441010105</v>
      </c>
      <c r="BJ371">
        <f t="shared" si="78"/>
        <v>-75.830088994610634</v>
      </c>
    </row>
    <row r="372" spans="42:62" x14ac:dyDescent="0.25">
      <c r="AP372" s="1">
        <v>367</v>
      </c>
      <c r="AQ372" s="7">
        <f t="shared" si="67"/>
        <v>-76592.496579408427</v>
      </c>
      <c r="AR372" s="7">
        <f t="shared" si="68"/>
        <v>42674.584473598654</v>
      </c>
      <c r="AS372" s="7"/>
      <c r="AT372" s="7">
        <f t="shared" si="69"/>
        <v>5.1834440795517125</v>
      </c>
      <c r="AU372" s="7">
        <f t="shared" si="70"/>
        <v>-1331.5358744549437</v>
      </c>
      <c r="AV372" s="7"/>
      <c r="AX372" s="7">
        <f t="shared" si="71"/>
        <v>45.904628449193645</v>
      </c>
      <c r="AY372" s="7">
        <f t="shared" si="72"/>
        <v>-16.716373303260681</v>
      </c>
      <c r="BB372" s="7">
        <f t="shared" si="73"/>
        <v>35.803512783258434</v>
      </c>
      <c r="BC372" s="7">
        <f t="shared" si="74"/>
        <v>-20.671731653446976</v>
      </c>
      <c r="BF372" s="7">
        <f t="shared" si="75"/>
        <v>47.399802383825765</v>
      </c>
      <c r="BG372" s="7">
        <f t="shared" si="76"/>
        <v>-38.185061804425644</v>
      </c>
      <c r="BI372" s="10">
        <f t="shared" si="77"/>
        <v>129.10794361627785</v>
      </c>
      <c r="BJ372">
        <f t="shared" si="78"/>
        <v>-75.573166761133308</v>
      </c>
    </row>
    <row r="373" spans="42:62" x14ac:dyDescent="0.25">
      <c r="AP373" s="1">
        <v>368</v>
      </c>
      <c r="AQ373" s="7">
        <f t="shared" si="67"/>
        <v>-76573.766364416617</v>
      </c>
      <c r="AR373" s="7">
        <f t="shared" si="68"/>
        <v>41999.369890526039</v>
      </c>
      <c r="AS373" s="7"/>
      <c r="AT373" s="7">
        <f t="shared" si="69"/>
        <v>69.737415887690645</v>
      </c>
      <c r="AU373" s="7">
        <f t="shared" si="70"/>
        <v>-1369.3224578355105</v>
      </c>
      <c r="AV373" s="7"/>
      <c r="AX373" s="7">
        <f t="shared" si="71"/>
        <v>46.224640515813086</v>
      </c>
      <c r="AY373" s="7">
        <f t="shared" si="72"/>
        <v>-16.512983093089968</v>
      </c>
      <c r="BB373" s="7">
        <f t="shared" si="73"/>
        <v>36.368429042247485</v>
      </c>
      <c r="BC373" s="7">
        <f t="shared" si="74"/>
        <v>-20.570785507966551</v>
      </c>
      <c r="BF373" s="7">
        <f t="shared" si="75"/>
        <v>48.061150785342811</v>
      </c>
      <c r="BG373" s="7">
        <f t="shared" si="76"/>
        <v>-38.27457251627937</v>
      </c>
      <c r="BI373" s="10">
        <f t="shared" si="77"/>
        <v>130.65422034340338</v>
      </c>
      <c r="BJ373">
        <f t="shared" si="78"/>
        <v>-75.358341117335897</v>
      </c>
    </row>
    <row r="374" spans="42:62" x14ac:dyDescent="0.25">
      <c r="AP374" s="1">
        <v>369</v>
      </c>
      <c r="AQ374" s="7">
        <f t="shared" si="67"/>
        <v>-76522.565878929847</v>
      </c>
      <c r="AR374" s="7">
        <f t="shared" si="68"/>
        <v>41305.288868968615</v>
      </c>
      <c r="AS374" s="7"/>
      <c r="AT374" s="7">
        <f t="shared" si="69"/>
        <v>135.06452605939234</v>
      </c>
      <c r="AU374" s="7">
        <f t="shared" si="70"/>
        <v>-1407.0016283941784</v>
      </c>
      <c r="AV374" s="7"/>
      <c r="AX374" s="7">
        <f t="shared" si="71"/>
        <v>46.576667897796327</v>
      </c>
      <c r="AY374" s="7">
        <f t="shared" si="72"/>
        <v>-16.312638381515836</v>
      </c>
      <c r="BB374" s="7">
        <f t="shared" si="73"/>
        <v>36.979093978080094</v>
      </c>
      <c r="BC374" s="7">
        <f t="shared" si="74"/>
        <v>-20.481045067490008</v>
      </c>
      <c r="BF374" s="7">
        <f t="shared" si="75"/>
        <v>48.76720142954877</v>
      </c>
      <c r="BG374" s="7">
        <f t="shared" si="76"/>
        <v>-38.391398995248238</v>
      </c>
      <c r="BI374" s="10">
        <f t="shared" si="77"/>
        <v>132.32296330542519</v>
      </c>
      <c r="BJ374">
        <f t="shared" si="78"/>
        <v>-75.185082444254078</v>
      </c>
    </row>
    <row r="375" spans="42:62" x14ac:dyDescent="0.25">
      <c r="AP375" s="1">
        <v>370</v>
      </c>
      <c r="AQ375" s="7">
        <f t="shared" si="67"/>
        <v>-76438.49324548697</v>
      </c>
      <c r="AR375" s="7">
        <f t="shared" si="68"/>
        <v>40592.38991946599</v>
      </c>
      <c r="AS375" s="7"/>
      <c r="AT375" s="7">
        <f t="shared" si="69"/>
        <v>201.22600771210494</v>
      </c>
      <c r="AU375" s="7">
        <f t="shared" si="70"/>
        <v>-1444.5941696163054</v>
      </c>
      <c r="AV375" s="7"/>
      <c r="AX375" s="7">
        <f t="shared" si="71"/>
        <v>46.961829390255737</v>
      </c>
      <c r="AY375" s="7">
        <f t="shared" si="72"/>
        <v>-16.114718482357738</v>
      </c>
      <c r="BB375" s="7">
        <f t="shared" si="73"/>
        <v>37.638574293442048</v>
      </c>
      <c r="BC375" s="7">
        <f t="shared" si="74"/>
        <v>-20.4019256111137</v>
      </c>
      <c r="BF375" s="7">
        <f t="shared" si="75"/>
        <v>49.520731406232585</v>
      </c>
      <c r="BG375" s="7">
        <f t="shared" si="76"/>
        <v>-38.536308429298273</v>
      </c>
      <c r="BI375" s="10">
        <f t="shared" si="77"/>
        <v>134.12113508993036</v>
      </c>
      <c r="BJ375">
        <f t="shared" si="78"/>
        <v>-75.052952522769715</v>
      </c>
    </row>
    <row r="376" spans="42:62" x14ac:dyDescent="0.25">
      <c r="AP376" s="1">
        <v>371</v>
      </c>
      <c r="AQ376" s="7">
        <f t="shared" si="67"/>
        <v>-76321.115099744682</v>
      </c>
      <c r="AR376" s="7">
        <f t="shared" si="68"/>
        <v>39860.711215592491</v>
      </c>
      <c r="AS376" s="7"/>
      <c r="AT376" s="7">
        <f t="shared" si="69"/>
        <v>268.28657525707013</v>
      </c>
      <c r="AU376" s="7">
        <f t="shared" si="70"/>
        <v>-1482.1206458776903</v>
      </c>
      <c r="AV376" s="7"/>
      <c r="AX376" s="7">
        <f t="shared" si="71"/>
        <v>47.381382173435249</v>
      </c>
      <c r="AY376" s="7">
        <f t="shared" si="72"/>
        <v>-15.918578433424143</v>
      </c>
      <c r="BB376" s="7">
        <f t="shared" si="73"/>
        <v>38.350292067343574</v>
      </c>
      <c r="BC376" s="7">
        <f t="shared" si="74"/>
        <v>-20.332818241053705</v>
      </c>
      <c r="BF376" s="7">
        <f t="shared" si="75"/>
        <v>50.324805150888849</v>
      </c>
      <c r="BG376" s="7">
        <f t="shared" si="76"/>
        <v>-38.710199616239002</v>
      </c>
      <c r="BI376" s="10">
        <f t="shared" si="77"/>
        <v>136.05647939166766</v>
      </c>
      <c r="BJ376">
        <f t="shared" si="78"/>
        <v>-74.961596290716855</v>
      </c>
    </row>
    <row r="377" spans="42:62" x14ac:dyDescent="0.25">
      <c r="AP377" s="1">
        <v>372</v>
      </c>
      <c r="AQ377" s="7">
        <f t="shared" si="67"/>
        <v>-76169.964752192187</v>
      </c>
      <c r="AR377" s="7">
        <f t="shared" si="68"/>
        <v>39110.280693117311</v>
      </c>
      <c r="AS377" s="7"/>
      <c r="AT377" s="7">
        <f t="shared" si="69"/>
        <v>336.31481495290393</v>
      </c>
      <c r="AU377" s="7">
        <f t="shared" si="70"/>
        <v>-1519.6014440230488</v>
      </c>
      <c r="AV377" s="7"/>
      <c r="AX377" s="7">
        <f t="shared" si="71"/>
        <v>47.836732714002125</v>
      </c>
      <c r="AY377" s="7">
        <f t="shared" si="72"/>
        <v>-15.723542713441264</v>
      </c>
      <c r="BB377" s="7">
        <f t="shared" si="73"/>
        <v>39.11806902841802</v>
      </c>
      <c r="BC377" s="7">
        <f t="shared" si="74"/>
        <v>-20.273076093492563</v>
      </c>
      <c r="BF377" s="7">
        <f t="shared" si="75"/>
        <v>51.182808293400946</v>
      </c>
      <c r="BG377" s="7">
        <f t="shared" si="76"/>
        <v>-38.914114023537309</v>
      </c>
      <c r="BI377" s="10">
        <f t="shared" si="77"/>
        <v>138.1376100358211</v>
      </c>
      <c r="BJ377">
        <f t="shared" si="78"/>
        <v>-74.910732830471133</v>
      </c>
    </row>
    <row r="378" spans="42:62" x14ac:dyDescent="0.25">
      <c r="AP378" s="1">
        <v>373</v>
      </c>
      <c r="AQ378" s="7">
        <f t="shared" si="67"/>
        <v>-75984.540143461258</v>
      </c>
      <c r="AR378" s="7">
        <f t="shared" si="68"/>
        <v>38341.116129501977</v>
      </c>
      <c r="AS378" s="7"/>
      <c r="AT378" s="7">
        <f t="shared" si="69"/>
        <v>405.38361997081449</v>
      </c>
      <c r="AU378" s="7">
        <f t="shared" si="70"/>
        <v>-1557.0568104382844</v>
      </c>
      <c r="AV378" s="7"/>
      <c r="AX378" s="7">
        <f t="shared" si="71"/>
        <v>48.329449311843319</v>
      </c>
      <c r="AY378" s="7">
        <f t="shared" si="72"/>
        <v>-15.528898262924882</v>
      </c>
      <c r="BB378" s="7">
        <f t="shared" si="73"/>
        <v>39.946177874749374</v>
      </c>
      <c r="BC378" s="7">
        <f t="shared" si="74"/>
        <v>-20.221998129786208</v>
      </c>
      <c r="BF378" s="7">
        <f t="shared" si="75"/>
        <v>52.098486575667941</v>
      </c>
      <c r="BG378" s="7">
        <f t="shared" si="76"/>
        <v>-39.149248793999412</v>
      </c>
      <c r="BI378" s="10">
        <f t="shared" si="77"/>
        <v>140.37411376226063</v>
      </c>
      <c r="BJ378">
        <f t="shared" si="78"/>
        <v>-74.900145186710503</v>
      </c>
    </row>
    <row r="379" spans="42:62" x14ac:dyDescent="0.25">
      <c r="AP379" s="1">
        <v>374</v>
      </c>
      <c r="AQ379" s="7">
        <f t="shared" si="67"/>
        <v>-75764.301569255564</v>
      </c>
      <c r="AR379" s="7">
        <f t="shared" si="68"/>
        <v>37553.225206134499</v>
      </c>
      <c r="AS379" s="7"/>
      <c r="AT379" s="7">
        <f t="shared" si="69"/>
        <v>475.57067685194482</v>
      </c>
      <c r="AU379" s="7">
        <f t="shared" si="70"/>
        <v>-1594.5068830316397</v>
      </c>
      <c r="AV379" s="7"/>
      <c r="AX379" s="7">
        <f t="shared" si="71"/>
        <v>48.861276510708869</v>
      </c>
      <c r="AY379" s="7">
        <f t="shared" si="72"/>
        <v>-15.333886665205679</v>
      </c>
      <c r="BB379" s="7">
        <f t="shared" si="73"/>
        <v>40.839401903853869</v>
      </c>
      <c r="BC379" s="7">
        <f t="shared" si="74"/>
        <v>-20.178809852809305</v>
      </c>
      <c r="BF379" s="7">
        <f t="shared" si="75"/>
        <v>53.075990721971408</v>
      </c>
      <c r="BG379" s="7">
        <f t="shared" si="76"/>
        <v>-39.416971998524204</v>
      </c>
      <c r="BI379" s="10">
        <f t="shared" si="77"/>
        <v>142.77666913653414</v>
      </c>
      <c r="BJ379">
        <f t="shared" si="78"/>
        <v>-74.929668516539195</v>
      </c>
    </row>
    <row r="380" spans="42:62" x14ac:dyDescent="0.25">
      <c r="AP380" s="1">
        <v>375</v>
      </c>
      <c r="AQ380" s="7">
        <f t="shared" si="67"/>
        <v>-75508.669147187538</v>
      </c>
      <c r="AR380" s="7">
        <f t="shared" si="68"/>
        <v>36746.605556054106</v>
      </c>
      <c r="AS380" s="7"/>
      <c r="AT380" s="7">
        <f t="shared" si="69"/>
        <v>546.95901142021194</v>
      </c>
      <c r="AU380" s="7">
        <f t="shared" si="70"/>
        <v>-1631.9717172899093</v>
      </c>
      <c r="AV380" s="7"/>
      <c r="AX380" s="7">
        <f t="shared" si="71"/>
        <v>49.434151631858839</v>
      </c>
      <c r="AY380" s="7">
        <f t="shared" si="72"/>
        <v>-15.137695317972277</v>
      </c>
      <c r="BB380" s="7">
        <f t="shared" si="73"/>
        <v>41.803104477631464</v>
      </c>
      <c r="BC380" s="7">
        <f t="shared" si="74"/>
        <v>-20.142640125580787</v>
      </c>
      <c r="BF380" s="7">
        <f t="shared" si="75"/>
        <v>54.1199283262915</v>
      </c>
      <c r="BG380" s="7">
        <f t="shared" si="76"/>
        <v>-39.718840501391504</v>
      </c>
      <c r="BI380" s="10">
        <f t="shared" si="77"/>
        <v>145.35718443578179</v>
      </c>
      <c r="BJ380">
        <f t="shared" si="78"/>
        <v>-74.999175944944568</v>
      </c>
    </row>
    <row r="381" spans="42:62" x14ac:dyDescent="0.25">
      <c r="AP381" s="1">
        <v>376</v>
      </c>
      <c r="AQ381" s="7">
        <f t="shared" si="67"/>
        <v>-75217.01999342296</v>
      </c>
      <c r="AR381" s="7">
        <f t="shared" si="68"/>
        <v>35921.244800416032</v>
      </c>
      <c r="AS381" s="7"/>
      <c r="AT381" s="7">
        <f t="shared" si="69"/>
        <v>619.63760363810286</v>
      </c>
      <c r="AU381" s="7">
        <f t="shared" si="70"/>
        <v>-1669.4713052623815</v>
      </c>
      <c r="AV381" s="7"/>
      <c r="AX381" s="7">
        <f t="shared" si="71"/>
        <v>50.050223738503171</v>
      </c>
      <c r="AY381" s="7">
        <f t="shared" si="72"/>
        <v>-14.939447393815199</v>
      </c>
      <c r="BB381" s="7">
        <f t="shared" si="73"/>
        <v>42.843310168204965</v>
      </c>
      <c r="BC381" s="7">
        <f t="shared" si="74"/>
        <v>-20.112493051281561</v>
      </c>
      <c r="BF381" s="7">
        <f t="shared" si="75"/>
        <v>55.235424043343258</v>
      </c>
      <c r="BG381" s="7">
        <f t="shared" si="76"/>
        <v>-40.056620882363298</v>
      </c>
      <c r="BI381" s="10">
        <f t="shared" si="77"/>
        <v>148.12895795005139</v>
      </c>
      <c r="BJ381">
        <f t="shared" si="78"/>
        <v>-75.108561327460052</v>
      </c>
    </row>
    <row r="382" spans="42:62" x14ac:dyDescent="0.25">
      <c r="AP382" s="1">
        <v>377</v>
      </c>
      <c r="AQ382" s="7">
        <f t="shared" si="67"/>
        <v>-74888.685071860149</v>
      </c>
      <c r="AR382" s="7">
        <f t="shared" si="68"/>
        <v>35077.120577618909</v>
      </c>
      <c r="AS382" s="7"/>
      <c r="AT382" s="7">
        <f t="shared" si="69"/>
        <v>693.7020826131286</v>
      </c>
      <c r="AU382" s="7">
        <f t="shared" si="70"/>
        <v>-1707.0255859261115</v>
      </c>
      <c r="AV382" s="7"/>
      <c r="AX382" s="7">
        <f t="shared" si="71"/>
        <v>50.71187539706748</v>
      </c>
      <c r="AY382" s="7">
        <f t="shared" si="72"/>
        <v>-14.73819034886011</v>
      </c>
      <c r="BB382" s="7">
        <f t="shared" si="73"/>
        <v>43.966799826698001</v>
      </c>
      <c r="BC382" s="7">
        <f t="shared" si="74"/>
        <v>-20.087213589151748</v>
      </c>
      <c r="BF382" s="7">
        <f t="shared" si="75"/>
        <v>56.428189645985483</v>
      </c>
      <c r="BG382" s="7">
        <f t="shared" si="76"/>
        <v>-40.432313957163302</v>
      </c>
      <c r="BI382" s="10">
        <f t="shared" si="77"/>
        <v>151.10686486975095</v>
      </c>
      <c r="BJ382">
        <f t="shared" si="78"/>
        <v>-75.257717895175162</v>
      </c>
    </row>
    <row r="383" spans="42:62" x14ac:dyDescent="0.25">
      <c r="AP383" s="1">
        <v>378</v>
      </c>
      <c r="AQ383" s="7">
        <f t="shared" si="67"/>
        <v>-74522.945672444868</v>
      </c>
      <c r="AR383" s="7">
        <f t="shared" si="68"/>
        <v>34214.200569918961</v>
      </c>
      <c r="AS383" s="7"/>
      <c r="AT383" s="7">
        <f t="shared" si="69"/>
        <v>769.2555150480041</v>
      </c>
      <c r="AU383" s="7">
        <f t="shared" si="70"/>
        <v>-1744.654444873699</v>
      </c>
      <c r="AV383" s="7"/>
      <c r="AX383" s="7">
        <f t="shared" si="71"/>
        <v>51.421747671482287</v>
      </c>
      <c r="AY383" s="7">
        <f t="shared" si="72"/>
        <v>-14.532882689797473</v>
      </c>
      <c r="BB383" s="7">
        <f t="shared" si="73"/>
        <v>45.181222307280038</v>
      </c>
      <c r="BC383" s="7">
        <f t="shared" si="74"/>
        <v>-20.065445207511626</v>
      </c>
      <c r="BF383" s="7">
        <f t="shared" si="75"/>
        <v>57.70460585534056</v>
      </c>
      <c r="BG383" s="7">
        <f t="shared" si="76"/>
        <v>-40.848183558747387</v>
      </c>
      <c r="BI383" s="10">
        <f t="shared" si="77"/>
        <v>154.30757583410289</v>
      </c>
      <c r="BJ383">
        <f t="shared" si="78"/>
        <v>-75.446511456056484</v>
      </c>
    </row>
    <row r="384" spans="42:62" x14ac:dyDescent="0.25">
      <c r="AP384" s="1">
        <v>379</v>
      </c>
      <c r="AQ384" s="7">
        <f t="shared" si="67"/>
        <v>-74119.029467941597</v>
      </c>
      <c r="AR384" s="7">
        <f t="shared" si="68"/>
        <v>33332.442533550107</v>
      </c>
      <c r="AS384" s="7"/>
      <c r="AT384" s="7">
        <f t="shared" si="69"/>
        <v>846.40930296505553</v>
      </c>
      <c r="AU384" s="7">
        <f t="shared" si="70"/>
        <v>-1782.3777006017274</v>
      </c>
      <c r="AV384" s="7"/>
      <c r="AX384" s="7">
        <f t="shared" si="71"/>
        <v>52.182768871626472</v>
      </c>
      <c r="AY384" s="7">
        <f t="shared" si="72"/>
        <v>-14.322378649016677</v>
      </c>
      <c r="BB384" s="7">
        <f t="shared" si="73"/>
        <v>46.495226187494623</v>
      </c>
      <c r="BC384" s="7">
        <f t="shared" si="74"/>
        <v>-20.045577383215299</v>
      </c>
      <c r="BF384" s="7">
        <f t="shared" si="75"/>
        <v>59.071818280382907</v>
      </c>
      <c r="BG384" s="7">
        <f t="shared" si="76"/>
        <v>-41.30679039284184</v>
      </c>
      <c r="BI384" s="10">
        <f t="shared" si="77"/>
        <v>157.74981333950402</v>
      </c>
      <c r="BJ384">
        <f t="shared" si="78"/>
        <v>-75.674746425073806</v>
      </c>
    </row>
    <row r="385" spans="42:62" x14ac:dyDescent="0.25">
      <c r="AP385" s="1">
        <v>380</v>
      </c>
      <c r="AQ385" s="7">
        <f t="shared" si="67"/>
        <v>-73676.106089791618</v>
      </c>
      <c r="AR385" s="7">
        <f t="shared" si="68"/>
        <v>32431.794339946111</v>
      </c>
      <c r="AS385" s="7"/>
      <c r="AT385" s="7">
        <f t="shared" si="69"/>
        <v>925.28420963480755</v>
      </c>
      <c r="AU385" s="7">
        <f t="shared" si="70"/>
        <v>-1820.2150738142643</v>
      </c>
      <c r="AV385" s="7"/>
      <c r="AX385" s="7">
        <f t="shared" si="71"/>
        <v>52.998187680387964</v>
      </c>
      <c r="AY385" s="7">
        <f t="shared" si="72"/>
        <v>-14.105410342000667</v>
      </c>
      <c r="BB385" s="7">
        <f t="shared" si="73"/>
        <v>47.918615583932002</v>
      </c>
      <c r="BC385" s="7">
        <f t="shared" si="74"/>
        <v>-20.025680104953238</v>
      </c>
      <c r="BF385" s="7">
        <f t="shared" si="75"/>
        <v>60.537850345747387</v>
      </c>
      <c r="BG385" s="7">
        <f t="shared" si="76"/>
        <v>-41.811031971260064</v>
      </c>
      <c r="BI385" s="10">
        <f t="shared" si="77"/>
        <v>161.45465361006734</v>
      </c>
      <c r="BJ385">
        <f t="shared" si="78"/>
        <v>-75.94212241821397</v>
      </c>
    </row>
    <row r="386" spans="42:62" x14ac:dyDescent="0.25">
      <c r="AP386" s="1">
        <v>381</v>
      </c>
      <c r="AQ386" s="7">
        <f t="shared" si="67"/>
        <v>-73193.282153272958</v>
      </c>
      <c r="AR386" s="7">
        <f t="shared" si="68"/>
        <v>31512.194037736703</v>
      </c>
      <c r="AS386" s="7"/>
      <c r="AT386" s="7">
        <f t="shared" si="69"/>
        <v>1006.0115364398412</v>
      </c>
      <c r="AU386" s="7">
        <f t="shared" si="70"/>
        <v>-1858.1861350233712</v>
      </c>
      <c r="AV386" s="7"/>
      <c r="AX386" s="7">
        <f t="shared" si="71"/>
        <v>53.871611410218463</v>
      </c>
      <c r="AY386" s="7">
        <f t="shared" si="72"/>
        <v>-13.880566886572369</v>
      </c>
      <c r="BB386" s="7">
        <f t="shared" si="73"/>
        <v>49.462535108892112</v>
      </c>
      <c r="BC386" s="7">
        <f t="shared" si="74"/>
        <v>-20.003421668827798</v>
      </c>
      <c r="BF386" s="7">
        <f t="shared" si="75"/>
        <v>62.111736772964576</v>
      </c>
      <c r="BG386" s="7">
        <f t="shared" si="76"/>
        <v>-42.364189867143651</v>
      </c>
      <c r="BI386" s="10">
        <f t="shared" si="77"/>
        <v>165.44588329207517</v>
      </c>
      <c r="BJ386">
        <f t="shared" si="78"/>
        <v>-76.248178422543816</v>
      </c>
    </row>
    <row r="387" spans="42:62" x14ac:dyDescent="0.25">
      <c r="AP387" s="1">
        <v>382</v>
      </c>
      <c r="AQ387" s="7">
        <f t="shared" si="67"/>
        <v>-72669.595649641517</v>
      </c>
      <c r="AR387" s="7">
        <f t="shared" si="68"/>
        <v>30573.569947922198</v>
      </c>
      <c r="AS387" s="7"/>
      <c r="AT387" s="7">
        <f t="shared" si="69"/>
        <v>1088.7344780858787</v>
      </c>
      <c r="AU387" s="7">
        <f t="shared" si="70"/>
        <v>-1896.3102242346431</v>
      </c>
      <c r="AV387" s="7"/>
      <c r="AX387" s="7">
        <f t="shared" si="71"/>
        <v>54.807050295422783</v>
      </c>
      <c r="AY387" s="7">
        <f t="shared" si="72"/>
        <v>-13.646269844662038</v>
      </c>
      <c r="BB387" s="7">
        <f t="shared" si="73"/>
        <v>51.139690198620841</v>
      </c>
      <c r="BC387" s="7">
        <f t="shared" si="74"/>
        <v>-19.975964889025271</v>
      </c>
      <c r="BF387" s="7">
        <f t="shared" si="75"/>
        <v>63.803682055016971</v>
      </c>
      <c r="BG387" s="7">
        <f t="shared" si="76"/>
        <v>-42.96998584303951</v>
      </c>
      <c r="BI387" s="10">
        <f t="shared" si="77"/>
        <v>169.7504225490606</v>
      </c>
      <c r="BJ387">
        <f t="shared" si="78"/>
        <v>-76.592220576726817</v>
      </c>
    </row>
    <row r="388" spans="42:62" x14ac:dyDescent="0.25">
      <c r="AP388" s="1">
        <v>383</v>
      </c>
      <c r="AQ388" s="7">
        <f t="shared" si="67"/>
        <v>-72104.009607779939</v>
      </c>
      <c r="AR388" s="7">
        <f t="shared" si="68"/>
        <v>29615.840808232788</v>
      </c>
      <c r="AS388" s="7"/>
      <c r="AT388" s="7">
        <f t="shared" si="69"/>
        <v>1173.609689360409</v>
      </c>
      <c r="AU388" s="7">
        <f t="shared" si="70"/>
        <v>-1934.6063345230066</v>
      </c>
      <c r="AV388" s="7"/>
      <c r="AX388" s="7">
        <f t="shared" si="71"/>
        <v>55.808968918480495</v>
      </c>
      <c r="AY388" s="7">
        <f t="shared" si="72"/>
        <v>-13.400744197009088</v>
      </c>
      <c r="BB388" s="7">
        <f t="shared" si="73"/>
        <v>52.964610529791528</v>
      </c>
      <c r="BC388" s="7">
        <f t="shared" si="74"/>
        <v>-19.939835272625739</v>
      </c>
      <c r="BF388" s="7">
        <f t="shared" si="75"/>
        <v>65.625249485704842</v>
      </c>
      <c r="BG388" s="7">
        <f t="shared" si="76"/>
        <v>-43.632648796523007</v>
      </c>
      <c r="BI388" s="10">
        <f t="shared" si="77"/>
        <v>174.39882893397686</v>
      </c>
      <c r="BJ388">
        <f t="shared" si="78"/>
        <v>-76.973228266157832</v>
      </c>
    </row>
    <row r="389" spans="42:62" x14ac:dyDescent="0.25">
      <c r="AP389" s="1">
        <v>384</v>
      </c>
      <c r="AQ389" s="7">
        <f t="shared" si="67"/>
        <v>-71495.404909482997</v>
      </c>
      <c r="AR389" s="7">
        <f t="shared" si="68"/>
        <v>28638.915987438013</v>
      </c>
      <c r="AS389" s="7"/>
      <c r="AT389" s="7">
        <f t="shared" si="69"/>
        <v>1260.8091038273974</v>
      </c>
      <c r="AU389" s="7">
        <f t="shared" si="70"/>
        <v>-1973.0929486560856</v>
      </c>
      <c r="AV389" s="7"/>
      <c r="AX389" s="7">
        <f t="shared" si="71"/>
        <v>56.882346107336772</v>
      </c>
      <c r="AY389" s="7">
        <f t="shared" si="72"/>
        <v>-13.14198387034777</v>
      </c>
      <c r="BB389" s="7">
        <f t="shared" si="73"/>
        <v>54.953966106990897</v>
      </c>
      <c r="BC389" s="7">
        <f t="shared" si="74"/>
        <v>-19.890752568023704</v>
      </c>
      <c r="BF389" s="7">
        <f t="shared" si="75"/>
        <v>67.589587753227391</v>
      </c>
      <c r="BG389" s="7">
        <f t="shared" si="76"/>
        <v>-44.356994977378093</v>
      </c>
      <c r="BI389" s="10">
        <f t="shared" si="77"/>
        <v>179.42589996755504</v>
      </c>
      <c r="BJ389">
        <f t="shared" si="78"/>
        <v>-77.389731415749566</v>
      </c>
    </row>
    <row r="390" spans="42:62" x14ac:dyDescent="0.25">
      <c r="AP390" s="1">
        <v>385</v>
      </c>
      <c r="AQ390" s="7">
        <f t="shared" ref="AQ390:AQ453" si="79">AQ389+(AT389*$R$7)+((1/2)*(BI389)*$R$7^2)</f>
        <v>-70842.572120073353</v>
      </c>
      <c r="AR390" s="7">
        <f t="shared" ref="AR390:AR453" si="80">AR389+(AU389*$R$7)+((1/2)*(BJ389)*$R$7^2)</f>
        <v>27642.695796683001</v>
      </c>
      <c r="AS390" s="7"/>
      <c r="AT390" s="7">
        <f t="shared" ref="AT390:AT453" si="81">AT389+(BI389)*$R$7</f>
        <v>1350.5220538111748</v>
      </c>
      <c r="AU390" s="7">
        <f t="shared" ref="AU390:AU453" si="82">AU389+(BJ389)*$R$7</f>
        <v>-2011.7878143639605</v>
      </c>
      <c r="AV390" s="7"/>
      <c r="AX390" s="7">
        <f t="shared" ref="AX390:AX453" si="83">(($R$23-AQ390)/(($R$23-AQ390)^2+($S$23-AR390)^2+$R$28^2)^(3/2))*$R$27</f>
        <v>58.032744938870437</v>
      </c>
      <c r="AY390" s="7">
        <f t="shared" ref="AY390:AY453" si="84">(($S$23-AR390)/(($R$23-AQ390)^2+($S$23-AR390)^2+$R$28^2)^(3/2))*$R$27</f>
        <v>-12.867710592838488</v>
      </c>
      <c r="BB390" s="7">
        <f t="shared" ref="BB390:BB453" si="85">(($R$32-AQ390)/(($R$32-AQ390)^2+($S$32-AR390)^2+$R$37^2)^(3/2))*$R$36</f>
        <v>57.126947947593848</v>
      </c>
      <c r="BC390" s="7">
        <f t="shared" ref="BC390:BC453" si="86">(($S$32-AR390)/(($R$32-AQ390)^2+($S$32-AR390)^2+$R$37^2)^(3/2))*$R$36</f>
        <v>-19.823414166617667</v>
      </c>
      <c r="BF390" s="7">
        <f t="shared" ref="BF390:BF453" si="87">(($R$41-AQ390)/(($R$41-AQ390)^2+($S$41-AR390)^2+$R$46^2)^(3/2))*$R$45</f>
        <v>69.711703989659696</v>
      </c>
      <c r="BG390" s="7">
        <f t="shared" ref="BG390:BG453" si="88">(($S$41-AR390)/(($R$41-AQ390)^2+($S$41-AR390)^2+$R$46^2)^(3/2))*$R$45</f>
        <v>-45.148524594062586</v>
      </c>
      <c r="BI390" s="10">
        <f t="shared" ref="BI390:BI453" si="89">BF390+BB390+AX390</f>
        <v>184.87139687612398</v>
      </c>
      <c r="BJ390">
        <f t="shared" ref="BJ390:BJ453" si="90">BG390+BC390+AY390</f>
        <v>-77.839649353518737</v>
      </c>
    </row>
    <row r="391" spans="42:62" x14ac:dyDescent="0.25">
      <c r="AP391" s="1">
        <v>386</v>
      </c>
      <c r="AQ391" s="7">
        <f t="shared" si="79"/>
        <v>-70144.202168558244</v>
      </c>
      <c r="AR391" s="7">
        <f t="shared" si="80"/>
        <v>26627.07193333183</v>
      </c>
      <c r="AS391" s="7"/>
      <c r="AT391" s="7">
        <f t="shared" si="81"/>
        <v>1442.9577522492368</v>
      </c>
      <c r="AU391" s="7">
        <f t="shared" si="82"/>
        <v>-2050.7076390407196</v>
      </c>
      <c r="AV391" s="7"/>
      <c r="AX391" s="7">
        <f t="shared" si="83"/>
        <v>59.266394858702029</v>
      </c>
      <c r="AY391" s="7">
        <f t="shared" si="84"/>
        <v>-12.575324540251261</v>
      </c>
      <c r="BB391" s="7">
        <f t="shared" si="85"/>
        <v>59.505728230130678</v>
      </c>
      <c r="BC391" s="7">
        <f t="shared" si="86"/>
        <v>-19.731214795318081</v>
      </c>
      <c r="BF391" s="7">
        <f t="shared" si="87"/>
        <v>72.008794633207174</v>
      </c>
      <c r="BG391" s="7">
        <f t="shared" si="88"/>
        <v>-46.013538799248366</v>
      </c>
      <c r="BI391" s="10">
        <f t="shared" si="89"/>
        <v>190.78091772203987</v>
      </c>
      <c r="BJ391">
        <f t="shared" si="90"/>
        <v>-78.320078134817706</v>
      </c>
    </row>
    <row r="392" spans="42:62" x14ac:dyDescent="0.25">
      <c r="AP392" s="1">
        <v>387</v>
      </c>
      <c r="AQ392" s="7">
        <f t="shared" si="79"/>
        <v>-69398.875677718373</v>
      </c>
      <c r="AR392" s="7">
        <f t="shared" si="80"/>
        <v>25591.928104044619</v>
      </c>
      <c r="AS392" s="7"/>
      <c r="AT392" s="7">
        <f t="shared" si="81"/>
        <v>1538.3482111102567</v>
      </c>
      <c r="AU392" s="7">
        <f t="shared" si="82"/>
        <v>-2089.8676781081285</v>
      </c>
      <c r="AV392" s="7"/>
      <c r="AX392" s="7">
        <f t="shared" si="83"/>
        <v>60.590288401856064</v>
      </c>
      <c r="AY392" s="7">
        <f t="shared" si="84"/>
        <v>-12.261844830369855</v>
      </c>
      <c r="BB392" s="7">
        <f t="shared" si="85"/>
        <v>62.116018447071774</v>
      </c>
      <c r="BC392" s="7">
        <f t="shared" si="86"/>
        <v>-19.60588131711474</v>
      </c>
      <c r="BF392" s="7">
        <f t="shared" si="87"/>
        <v>74.500648714109332</v>
      </c>
      <c r="BG392" s="7">
        <f t="shared" si="88"/>
        <v>-46.959282199924168</v>
      </c>
      <c r="BI392" s="10">
        <f t="shared" si="89"/>
        <v>197.20695556303718</v>
      </c>
      <c r="BJ392">
        <f t="shared" si="90"/>
        <v>-78.827008347408764</v>
      </c>
    </row>
    <row r="393" spans="42:62" x14ac:dyDescent="0.25">
      <c r="AP393" s="1">
        <v>388</v>
      </c>
      <c r="AQ393" s="7">
        <f t="shared" si="79"/>
        <v>-68605.050702717868</v>
      </c>
      <c r="AR393" s="7">
        <f t="shared" si="80"/>
        <v>24537.140888947128</v>
      </c>
      <c r="AS393" s="7"/>
      <c r="AT393" s="7">
        <f t="shared" si="81"/>
        <v>1636.9516888917753</v>
      </c>
      <c r="AU393" s="7">
        <f t="shared" si="82"/>
        <v>-2129.281182281833</v>
      </c>
      <c r="AV393" s="7"/>
      <c r="AX393" s="7">
        <f t="shared" si="83"/>
        <v>62.012295602746669</v>
      </c>
      <c r="AY393" s="7">
        <f t="shared" si="84"/>
        <v>-11.92383739585879</v>
      </c>
      <c r="BB393" s="7">
        <f t="shared" si="85"/>
        <v>64.987748666467766</v>
      </c>
      <c r="BC393" s="7">
        <f t="shared" si="86"/>
        <v>-19.436993579087048</v>
      </c>
      <c r="BF393" s="7">
        <f t="shared" si="87"/>
        <v>77.210142505799013</v>
      </c>
      <c r="BG393" s="7">
        <f t="shared" si="88"/>
        <v>-47.994117583134305</v>
      </c>
      <c r="BI393" s="10">
        <f t="shared" si="89"/>
        <v>204.21018677501345</v>
      </c>
      <c r="BJ393">
        <f t="shared" si="90"/>
        <v>-79.354948558080139</v>
      </c>
    </row>
    <row r="394" spans="42:62" x14ac:dyDescent="0.25">
      <c r="AP394" s="1">
        <v>389</v>
      </c>
      <c r="AQ394" s="7">
        <f t="shared" si="79"/>
        <v>-67761.048584925113</v>
      </c>
      <c r="AR394" s="7">
        <f t="shared" si="80"/>
        <v>23462.58092923645</v>
      </c>
      <c r="AS394" s="7"/>
      <c r="AT394" s="7">
        <f t="shared" si="81"/>
        <v>1739.0567822792821</v>
      </c>
      <c r="AU394" s="7">
        <f t="shared" si="82"/>
        <v>-2168.9586565608729</v>
      </c>
      <c r="AV394" s="7"/>
      <c r="AX394" s="7">
        <f t="shared" si="83"/>
        <v>63.541299957218449</v>
      </c>
      <c r="AY394" s="7">
        <f t="shared" si="84"/>
        <v>-11.557327074715621</v>
      </c>
      <c r="BB394" s="7">
        <f t="shared" si="85"/>
        <v>68.155896608583461</v>
      </c>
      <c r="BC394" s="7">
        <f t="shared" si="86"/>
        <v>-19.211351113160774</v>
      </c>
      <c r="BF394" s="7">
        <f t="shared" si="87"/>
        <v>80.163850297424631</v>
      </c>
      <c r="BG394" s="7">
        <f t="shared" si="88"/>
        <v>-49.127741635669317</v>
      </c>
      <c r="BI394" s="10">
        <f t="shared" si="89"/>
        <v>211.86104686322656</v>
      </c>
      <c r="BJ394">
        <f t="shared" si="90"/>
        <v>-79.896419823545713</v>
      </c>
    </row>
    <row r="395" spans="42:62" x14ac:dyDescent="0.25">
      <c r="AP395" s="1">
        <v>390</v>
      </c>
      <c r="AQ395" s="7">
        <f t="shared" si="79"/>
        <v>-66865.037562927566</v>
      </c>
      <c r="AR395" s="7">
        <f t="shared" si="80"/>
        <v>22368.114548478072</v>
      </c>
      <c r="AS395" s="7"/>
      <c r="AT395" s="7">
        <f t="shared" si="81"/>
        <v>1844.9873057108953</v>
      </c>
      <c r="AU395" s="7">
        <f t="shared" si="82"/>
        <v>-2208.9068664726456</v>
      </c>
      <c r="AV395" s="7"/>
      <c r="AX395" s="7">
        <f t="shared" si="83"/>
        <v>65.187360799127759</v>
      </c>
      <c r="AY395" s="7">
        <f t="shared" si="84"/>
        <v>-11.157689844688944</v>
      </c>
      <c r="BB395" s="7">
        <f t="shared" si="85"/>
        <v>71.661501984706547</v>
      </c>
      <c r="BC395" s="7">
        <f t="shared" si="86"/>
        <v>-18.912129624834826</v>
      </c>
      <c r="BF395" s="7">
        <f t="shared" si="87"/>
        <v>83.392803922798763</v>
      </c>
      <c r="BG395" s="7">
        <f t="shared" si="88"/>
        <v>-50.371453283870764</v>
      </c>
      <c r="BI395" s="10">
        <f t="shared" si="89"/>
        <v>220.24166670663305</v>
      </c>
      <c r="BJ395">
        <f t="shared" si="90"/>
        <v>-80.441272753394543</v>
      </c>
    </row>
    <row r="396" spans="42:62" x14ac:dyDescent="0.25">
      <c r="AP396" s="1">
        <v>391</v>
      </c>
      <c r="AQ396" s="7">
        <f t="shared" si="79"/>
        <v>-65915.013701733784</v>
      </c>
      <c r="AR396" s="7">
        <f t="shared" si="80"/>
        <v>21253.605956147574</v>
      </c>
      <c r="AS396" s="7"/>
      <c r="AT396" s="7">
        <f t="shared" si="81"/>
        <v>1955.1081390642119</v>
      </c>
      <c r="AU396" s="7">
        <f t="shared" si="82"/>
        <v>-2249.1275028493428</v>
      </c>
      <c r="AV396" s="7"/>
      <c r="AX396" s="7">
        <f t="shared" si="83"/>
        <v>66.961908254664507</v>
      </c>
      <c r="AY396" s="7">
        <f t="shared" si="84"/>
        <v>-10.719519913057708</v>
      </c>
      <c r="BB396" s="7">
        <f t="shared" si="85"/>
        <v>75.552909383029075</v>
      </c>
      <c r="BC396" s="7">
        <f t="shared" si="86"/>
        <v>-18.517748389673862</v>
      </c>
      <c r="BF396" s="7">
        <f t="shared" si="87"/>
        <v>86.933444462746692</v>
      </c>
      <c r="BG396" s="7">
        <f t="shared" si="88"/>
        <v>-51.73849020858637</v>
      </c>
      <c r="BI396" s="10">
        <f t="shared" si="89"/>
        <v>229.44826210044027</v>
      </c>
      <c r="BJ396">
        <f t="shared" si="90"/>
        <v>-80.975758511317949</v>
      </c>
    </row>
    <row r="397" spans="42:62" x14ac:dyDescent="0.25">
      <c r="AP397" s="1">
        <v>392</v>
      </c>
      <c r="AQ397" s="7">
        <f t="shared" si="79"/>
        <v>-64908.778599439123</v>
      </c>
      <c r="AR397" s="7">
        <f t="shared" si="80"/>
        <v>20118.92023490899</v>
      </c>
      <c r="AS397" s="7"/>
      <c r="AT397" s="7">
        <f t="shared" si="81"/>
        <v>2069.832270114432</v>
      </c>
      <c r="AU397" s="7">
        <f t="shared" si="82"/>
        <v>-2289.6153821050016</v>
      </c>
      <c r="AV397" s="7"/>
      <c r="AX397" s="7">
        <f t="shared" si="83"/>
        <v>68.877978643451115</v>
      </c>
      <c r="AY397" s="7">
        <f t="shared" si="84"/>
        <v>-10.236464742283031</v>
      </c>
      <c r="BB397" s="7">
        <f t="shared" si="85"/>
        <v>79.887291537508816</v>
      </c>
      <c r="BC397" s="7">
        <f t="shared" si="86"/>
        <v>-18.000336594793691</v>
      </c>
      <c r="BF397" s="7">
        <f t="shared" si="87"/>
        <v>90.828824446334053</v>
      </c>
      <c r="BG397" s="7">
        <f t="shared" si="88"/>
        <v>-53.244454574662633</v>
      </c>
      <c r="BI397" s="10">
        <f t="shared" si="89"/>
        <v>239.594094627294</v>
      </c>
      <c r="BJ397">
        <f t="shared" si="90"/>
        <v>-81.481255911739353</v>
      </c>
    </row>
    <row r="398" spans="42:62" x14ac:dyDescent="0.25">
      <c r="AP398" s="1">
        <v>393</v>
      </c>
      <c r="AQ398" s="7">
        <f t="shared" si="79"/>
        <v>-63843.913202553493</v>
      </c>
      <c r="AR398" s="7">
        <f t="shared" si="80"/>
        <v>18963.927386867523</v>
      </c>
      <c r="AS398" s="7"/>
      <c r="AT398" s="7">
        <f t="shared" si="81"/>
        <v>2189.629317428079</v>
      </c>
      <c r="AU398" s="7">
        <f t="shared" si="82"/>
        <v>-2330.3560100608711</v>
      </c>
      <c r="AV398" s="7"/>
      <c r="AX398" s="7">
        <f t="shared" si="83"/>
        <v>70.950500451363141</v>
      </c>
      <c r="AY398" s="7">
        <f t="shared" si="84"/>
        <v>-9.7010188834025826</v>
      </c>
      <c r="BB398" s="7">
        <f t="shared" si="85"/>
        <v>84.732512960494077</v>
      </c>
      <c r="BC398" s="7">
        <f t="shared" si="86"/>
        <v>-17.32363828875668</v>
      </c>
      <c r="BF398" s="7">
        <f t="shared" si="87"/>
        <v>95.130139720275963</v>
      </c>
      <c r="BG398" s="7">
        <f t="shared" si="88"/>
        <v>-54.907856767449104</v>
      </c>
      <c r="BI398" s="10">
        <f t="shared" si="89"/>
        <v>250.81315313213321</v>
      </c>
      <c r="BJ398">
        <f t="shared" si="90"/>
        <v>-81.93251393960837</v>
      </c>
    </row>
    <row r="399" spans="42:62" x14ac:dyDescent="0.25">
      <c r="AP399" s="1">
        <v>394</v>
      </c>
      <c r="AQ399" s="7">
        <f t="shared" si="79"/>
        <v>-62717.746899697937</v>
      </c>
      <c r="AR399" s="7">
        <f t="shared" si="80"/>
        <v>17788.507817594636</v>
      </c>
      <c r="AS399" s="7"/>
      <c r="AT399" s="7">
        <f t="shared" si="81"/>
        <v>2315.0358939941457</v>
      </c>
      <c r="AU399" s="7">
        <f t="shared" si="82"/>
        <v>-2371.3222670306754</v>
      </c>
      <c r="AV399" s="7"/>
      <c r="AX399" s="7">
        <f t="shared" si="83"/>
        <v>73.196644009834785</v>
      </c>
      <c r="AY399" s="7">
        <f t="shared" si="84"/>
        <v>-9.1042644697522217</v>
      </c>
      <c r="BB399" s="7">
        <f t="shared" si="85"/>
        <v>90.16939901964723</v>
      </c>
      <c r="BC399" s="7">
        <f t="shared" si="86"/>
        <v>-16.440124307616482</v>
      </c>
      <c r="BF399" s="7">
        <f t="shared" si="87"/>
        <v>99.898699642157311</v>
      </c>
      <c r="BG399" s="7">
        <f t="shared" si="88"/>
        <v>-56.750817038590192</v>
      </c>
      <c r="BI399" s="10">
        <f t="shared" si="89"/>
        <v>263.26474267163928</v>
      </c>
      <c r="BJ399">
        <f t="shared" si="90"/>
        <v>-82.295205815958894</v>
      </c>
    </row>
    <row r="400" spans="42:62" x14ac:dyDescent="0.25">
      <c r="AP400" s="1">
        <v>395</v>
      </c>
      <c r="AQ400" s="7">
        <f t="shared" si="79"/>
        <v>-61527.320859866908</v>
      </c>
      <c r="AR400" s="7">
        <f t="shared" si="80"/>
        <v>16592.559783352302</v>
      </c>
      <c r="AS400" s="7"/>
      <c r="AT400" s="7">
        <f t="shared" si="81"/>
        <v>2446.6682653299654</v>
      </c>
      <c r="AU400" s="7">
        <f t="shared" si="82"/>
        <v>-2412.4698699386549</v>
      </c>
      <c r="AV400" s="7"/>
      <c r="AX400" s="7">
        <f t="shared" si="83"/>
        <v>75.636252069140582</v>
      </c>
      <c r="AY400" s="7">
        <f t="shared" si="84"/>
        <v>-8.4355420547850901</v>
      </c>
      <c r="BB400" s="7">
        <f t="shared" si="85"/>
        <v>96.294471891687181</v>
      </c>
      <c r="BC400" s="7">
        <f t="shared" si="86"/>
        <v>-15.286973722540312</v>
      </c>
      <c r="BF400" s="7">
        <f t="shared" si="87"/>
        <v>105.2084864899975</v>
      </c>
      <c r="BG400" s="7">
        <f t="shared" si="88"/>
        <v>-58.799981116937808</v>
      </c>
      <c r="BI400" s="10">
        <f t="shared" si="89"/>
        <v>277.13921045082526</v>
      </c>
      <c r="BJ400">
        <f t="shared" si="90"/>
        <v>-82.522496894263213</v>
      </c>
    </row>
    <row r="401" spans="42:62" x14ac:dyDescent="0.25">
      <c r="AP401" s="1">
        <v>396</v>
      </c>
      <c r="AQ401" s="7">
        <f t="shared" si="79"/>
        <v>-60269.344325895574</v>
      </c>
      <c r="AR401" s="7">
        <f t="shared" si="80"/>
        <v>15376.009536271193</v>
      </c>
      <c r="AS401" s="7"/>
      <c r="AT401" s="7">
        <f t="shared" si="81"/>
        <v>2585.2378705553779</v>
      </c>
      <c r="AU401" s="7">
        <f t="shared" si="82"/>
        <v>-2453.7311183857864</v>
      </c>
      <c r="AV401" s="7"/>
      <c r="AX401" s="7">
        <f t="shared" si="83"/>
        <v>78.292373962630677</v>
      </c>
      <c r="AY401" s="7">
        <f t="shared" si="84"/>
        <v>-7.6820296605818807</v>
      </c>
      <c r="BB401" s="7">
        <f t="shared" si="85"/>
        <v>103.22319062460534</v>
      </c>
      <c r="BC401" s="7">
        <f t="shared" si="86"/>
        <v>-13.780429417256872</v>
      </c>
      <c r="BF401" s="7">
        <f t="shared" si="87"/>
        <v>111.14951629121074</v>
      </c>
      <c r="BG401" s="7">
        <f t="shared" si="88"/>
        <v>-61.087729698863924</v>
      </c>
      <c r="BI401" s="10">
        <f t="shared" si="89"/>
        <v>292.66508087844676</v>
      </c>
      <c r="BJ401">
        <f t="shared" si="90"/>
        <v>-82.550188776702669</v>
      </c>
    </row>
    <row r="402" spans="42:62" x14ac:dyDescent="0.25">
      <c r="AP402" s="1">
        <v>397</v>
      </c>
      <c r="AQ402" s="7">
        <f t="shared" si="79"/>
        <v>-58940.142255508086</v>
      </c>
      <c r="AR402" s="7">
        <f t="shared" si="80"/>
        <v>14138.825203481212</v>
      </c>
      <c r="AS402" s="7"/>
      <c r="AT402" s="7">
        <f t="shared" si="81"/>
        <v>2731.5704109946014</v>
      </c>
      <c r="AU402" s="7">
        <f t="shared" si="82"/>
        <v>-2495.0062127741376</v>
      </c>
      <c r="AV402" s="7"/>
      <c r="AX402" s="7">
        <f t="shared" si="83"/>
        <v>81.191933623000423</v>
      </c>
      <c r="AY402" s="7">
        <f t="shared" si="84"/>
        <v>-6.8281996947901193</v>
      </c>
      <c r="BB402" s="7">
        <f t="shared" si="85"/>
        <v>111.09366389354257</v>
      </c>
      <c r="BC402" s="7">
        <f t="shared" si="86"/>
        <v>-11.807796002713021</v>
      </c>
      <c r="BF402" s="7">
        <f t="shared" si="87"/>
        <v>117.8323035386435</v>
      </c>
      <c r="BG402" s="7">
        <f t="shared" si="88"/>
        <v>-63.653797571982921</v>
      </c>
      <c r="BI402" s="10">
        <f t="shared" si="89"/>
        <v>310.11790105518651</v>
      </c>
      <c r="BJ402">
        <f t="shared" si="90"/>
        <v>-82.289793269486054</v>
      </c>
    </row>
    <row r="403" spans="42:62" x14ac:dyDescent="0.25">
      <c r="AP403" s="1">
        <v>398</v>
      </c>
      <c r="AQ403" s="7">
        <f t="shared" si="79"/>
        <v>-57535.592312378889</v>
      </c>
      <c r="AR403" s="7">
        <f t="shared" si="80"/>
        <v>12881.035872935458</v>
      </c>
      <c r="AS403" s="7"/>
      <c r="AT403" s="7">
        <f t="shared" si="81"/>
        <v>2886.6293615221948</v>
      </c>
      <c r="AU403" s="7">
        <f t="shared" si="82"/>
        <v>-2536.1511094088805</v>
      </c>
      <c r="AV403" s="7"/>
      <c r="AX403" s="7">
        <f t="shared" si="83"/>
        <v>84.366572200770918</v>
      </c>
      <c r="AY403" s="7">
        <f t="shared" si="84"/>
        <v>-5.8551116712945754</v>
      </c>
      <c r="BB403" s="7">
        <f t="shared" si="85"/>
        <v>120.07064315423756</v>
      </c>
      <c r="BC403" s="7">
        <f t="shared" si="86"/>
        <v>-9.2159949771115457</v>
      </c>
      <c r="BF403" s="7">
        <f t="shared" si="87"/>
        <v>125.39386716498143</v>
      </c>
      <c r="BG403" s="7">
        <f t="shared" si="88"/>
        <v>-66.547472956713321</v>
      </c>
      <c r="BI403" s="10">
        <f t="shared" si="89"/>
        <v>329.83108251998988</v>
      </c>
      <c r="BJ403">
        <f t="shared" si="90"/>
        <v>-81.61857960511945</v>
      </c>
    </row>
    <row r="404" spans="42:62" x14ac:dyDescent="0.25">
      <c r="AP404" s="1">
        <v>399</v>
      </c>
      <c r="AQ404" s="7">
        <f t="shared" si="79"/>
        <v>-56051.048746302789</v>
      </c>
      <c r="AR404" s="7">
        <f t="shared" si="80"/>
        <v>11602.757995780377</v>
      </c>
      <c r="AS404" s="7"/>
      <c r="AT404" s="7">
        <f t="shared" si="81"/>
        <v>3051.5449027821896</v>
      </c>
      <c r="AU404" s="7">
        <f t="shared" si="82"/>
        <v>-2576.9603992114403</v>
      </c>
      <c r="AV404" s="7"/>
      <c r="AX404" s="7">
        <f t="shared" si="83"/>
        <v>87.853720724805271</v>
      </c>
      <c r="AY404" s="7">
        <f t="shared" si="84"/>
        <v>-4.7394817179332316</v>
      </c>
      <c r="BB404" s="7">
        <f t="shared" si="85"/>
        <v>130.34925579251353</v>
      </c>
      <c r="BC404" s="7">
        <f t="shared" si="86"/>
        <v>-5.7950689156275468</v>
      </c>
      <c r="BF404" s="7">
        <f t="shared" si="87"/>
        <v>134.00592000176252</v>
      </c>
      <c r="BG404" s="7">
        <f t="shared" si="88"/>
        <v>-69.830633206472001</v>
      </c>
      <c r="BI404" s="10">
        <f t="shared" si="89"/>
        <v>352.20889651908135</v>
      </c>
      <c r="BJ404">
        <f t="shared" si="90"/>
        <v>-80.365183840032785</v>
      </c>
    </row>
    <row r="405" spans="42:62" x14ac:dyDescent="0.25">
      <c r="AP405" s="1">
        <v>400</v>
      </c>
      <c r="AQ405" s="7">
        <f t="shared" si="79"/>
        <v>-54481.250182846808</v>
      </c>
      <c r="AR405" s="7">
        <f t="shared" si="80"/>
        <v>10304.232148194655</v>
      </c>
      <c r="AS405" s="7"/>
      <c r="AT405" s="7">
        <f t="shared" si="81"/>
        <v>3227.6493510417304</v>
      </c>
      <c r="AU405" s="7">
        <f t="shared" si="82"/>
        <v>-2617.1429911314567</v>
      </c>
      <c r="AV405" s="7"/>
      <c r="AX405" s="7">
        <f t="shared" si="83"/>
        <v>91.697979009858116</v>
      </c>
      <c r="AY405" s="7">
        <f t="shared" si="84"/>
        <v>-3.4524450117667764</v>
      </c>
      <c r="BB405" s="7">
        <f t="shared" si="85"/>
        <v>142.15721454273964</v>
      </c>
      <c r="BC405" s="7">
        <f t="shared" si="86"/>
        <v>-1.2542699157474519</v>
      </c>
      <c r="BF405" s="7">
        <f t="shared" si="87"/>
        <v>143.88620030834036</v>
      </c>
      <c r="BG405" s="7">
        <f t="shared" si="88"/>
        <v>-73.582009388801751</v>
      </c>
      <c r="BI405" s="10">
        <f t="shared" si="89"/>
        <v>377.7413938609381</v>
      </c>
      <c r="BJ405">
        <f t="shared" si="90"/>
        <v>-78.288724316315978</v>
      </c>
    </row>
    <row r="406" spans="42:62" x14ac:dyDescent="0.25">
      <c r="AP406" s="1">
        <v>401</v>
      </c>
      <c r="AQ406" s="7">
        <f t="shared" si="79"/>
        <v>-52820.207833093322</v>
      </c>
      <c r="AR406" s="7">
        <f t="shared" si="80"/>
        <v>8985.8745620893878</v>
      </c>
      <c r="AS406" s="7"/>
      <c r="AT406" s="7">
        <f t="shared" si="81"/>
        <v>3416.5200479721993</v>
      </c>
      <c r="AU406" s="7">
        <f t="shared" si="82"/>
        <v>-2656.2873532896147</v>
      </c>
      <c r="AV406" s="7"/>
      <c r="AX406" s="7">
        <f t="shared" si="83"/>
        <v>95.952906607699433</v>
      </c>
      <c r="AY406" s="7">
        <f t="shared" si="84"/>
        <v>-1.9578903621602437</v>
      </c>
      <c r="BB406" s="7">
        <f t="shared" si="85"/>
        <v>155.75277101206657</v>
      </c>
      <c r="BC406" s="7">
        <f t="shared" si="86"/>
        <v>4.8126705324862709</v>
      </c>
      <c r="BF406" s="7">
        <f t="shared" si="87"/>
        <v>155.31440122957264</v>
      </c>
      <c r="BG406" s="7">
        <f t="shared" si="88"/>
        <v>-77.903294744789306</v>
      </c>
      <c r="BI406" s="10">
        <f t="shared" si="89"/>
        <v>407.02007884933869</v>
      </c>
      <c r="BJ406">
        <f t="shared" si="90"/>
        <v>-75.048514574463283</v>
      </c>
    </row>
    <row r="407" spans="42:62" x14ac:dyDescent="0.25">
      <c r="AP407" s="1">
        <v>402</v>
      </c>
      <c r="AQ407" s="7">
        <f t="shared" si="79"/>
        <v>-51061.070299251056</v>
      </c>
      <c r="AR407" s="7">
        <f t="shared" si="80"/>
        <v>7648.3498211227725</v>
      </c>
      <c r="AS407" s="7"/>
      <c r="AT407" s="7">
        <f t="shared" si="81"/>
        <v>3620.0300873968686</v>
      </c>
      <c r="AU407" s="7">
        <f t="shared" si="82"/>
        <v>-2693.8116105768463</v>
      </c>
      <c r="AV407" s="7"/>
      <c r="AX407" s="7">
        <f t="shared" si="83"/>
        <v>100.68337400412507</v>
      </c>
      <c r="AY407" s="7">
        <f t="shared" si="84"/>
        <v>-0.21019048067597956</v>
      </c>
      <c r="BB407" s="7">
        <f t="shared" si="85"/>
        <v>171.41274863922138</v>
      </c>
      <c r="BC407" s="7">
        <f t="shared" si="86"/>
        <v>12.977750512640309</v>
      </c>
      <c r="BF407" s="7">
        <f t="shared" si="87"/>
        <v>168.65495021186652</v>
      </c>
      <c r="BG407" s="7">
        <f t="shared" si="88"/>
        <v>-82.9280840989165</v>
      </c>
      <c r="BI407" s="10">
        <f t="shared" si="89"/>
        <v>440.75107285521301</v>
      </c>
      <c r="BJ407">
        <f t="shared" si="90"/>
        <v>-70.160524066952163</v>
      </c>
    </row>
    <row r="408" spans="42:62" x14ac:dyDescent="0.25">
      <c r="AP408" s="1">
        <v>403</v>
      </c>
      <c r="AQ408" s="7">
        <f t="shared" si="79"/>
        <v>-49195.961371445723</v>
      </c>
      <c r="AR408" s="7">
        <f t="shared" si="80"/>
        <v>6292.6739503259805</v>
      </c>
      <c r="AS408" s="7"/>
      <c r="AT408" s="7">
        <f t="shared" si="81"/>
        <v>3840.4056238244752</v>
      </c>
      <c r="AU408" s="7">
        <f t="shared" si="82"/>
        <v>-2728.8918726103225</v>
      </c>
      <c r="AV408" s="7"/>
      <c r="AX408" s="7">
        <f t="shared" si="83"/>
        <v>105.96868309128939</v>
      </c>
      <c r="AY408" s="7">
        <f t="shared" si="84"/>
        <v>1.8489337962801893</v>
      </c>
      <c r="BB408" s="7">
        <f t="shared" si="85"/>
        <v>189.39923324555096</v>
      </c>
      <c r="BC408" s="7">
        <f t="shared" si="86"/>
        <v>24.050063029821953</v>
      </c>
      <c r="BF408" s="7">
        <f t="shared" si="87"/>
        <v>184.39018942075208</v>
      </c>
      <c r="BG408" s="7">
        <f t="shared" si="88"/>
        <v>-88.835270489478432</v>
      </c>
      <c r="BI408" s="10">
        <f t="shared" si="89"/>
        <v>479.75810575759243</v>
      </c>
      <c r="BJ408">
        <f t="shared" si="90"/>
        <v>-62.936273663376284</v>
      </c>
    </row>
    <row r="409" spans="42:62" x14ac:dyDescent="0.25">
      <c r="AP409" s="1">
        <v>404</v>
      </c>
      <c r="AQ409" s="7">
        <f t="shared" si="79"/>
        <v>-47215.788796313784</v>
      </c>
      <c r="AR409" s="7">
        <f t="shared" si="80"/>
        <v>4920.3609798128973</v>
      </c>
      <c r="AS409" s="7"/>
      <c r="AT409" s="7">
        <f t="shared" si="81"/>
        <v>4080.2846767032715</v>
      </c>
      <c r="AU409" s="7">
        <f t="shared" si="82"/>
        <v>-2760.3600094420108</v>
      </c>
      <c r="AV409" s="7"/>
      <c r="AX409" s="7">
        <f t="shared" si="83"/>
        <v>111.90675253133968</v>
      </c>
      <c r="AY409" s="7">
        <f t="shared" si="84"/>
        <v>4.2948097555926807</v>
      </c>
      <c r="BB409" s="7">
        <f t="shared" si="85"/>
        <v>209.88249033246012</v>
      </c>
      <c r="BC409" s="7">
        <f t="shared" si="86"/>
        <v>39.17311732266262</v>
      </c>
      <c r="BF409" s="7">
        <f t="shared" si="87"/>
        <v>203.1696679769347</v>
      </c>
      <c r="BG409" s="7">
        <f t="shared" si="88"/>
        <v>-95.86965544518425</v>
      </c>
      <c r="BI409" s="10">
        <f t="shared" si="89"/>
        <v>524.95891084073446</v>
      </c>
      <c r="BJ409">
        <f t="shared" si="90"/>
        <v>-52.40172836692895</v>
      </c>
    </row>
    <row r="410" spans="42:62" x14ac:dyDescent="0.25">
      <c r="AP410" s="1">
        <v>405</v>
      </c>
      <c r="AQ410" s="7">
        <f t="shared" si="79"/>
        <v>-45110.026594107054</v>
      </c>
      <c r="AR410" s="7">
        <f t="shared" si="80"/>
        <v>3533.630759046026</v>
      </c>
      <c r="AS410" s="7"/>
      <c r="AT410" s="7">
        <f t="shared" si="81"/>
        <v>4342.7641321236388</v>
      </c>
      <c r="AU410" s="7">
        <f t="shared" si="82"/>
        <v>-2786.5608736254753</v>
      </c>
      <c r="AV410" s="7"/>
      <c r="AX410" s="7">
        <f t="shared" si="83"/>
        <v>118.61978393829568</v>
      </c>
      <c r="AY410" s="7">
        <f t="shared" si="84"/>
        <v>7.2260738782134837</v>
      </c>
      <c r="BB410" s="7">
        <f t="shared" si="85"/>
        <v>232.77766152861454</v>
      </c>
      <c r="BC410" s="7">
        <f t="shared" si="86"/>
        <v>59.945229641576027</v>
      </c>
      <c r="BF410" s="7">
        <f t="shared" si="87"/>
        <v>225.88491283672514</v>
      </c>
      <c r="BG410" s="7">
        <f t="shared" si="88"/>
        <v>-104.37458969848286</v>
      </c>
      <c r="BI410" s="10">
        <f t="shared" si="89"/>
        <v>577.28235830363531</v>
      </c>
      <c r="BJ410">
        <f t="shared" si="90"/>
        <v>-37.203286178693354</v>
      </c>
    </row>
    <row r="411" spans="42:62" x14ac:dyDescent="0.25">
      <c r="AP411" s="1">
        <v>406</v>
      </c>
      <c r="AQ411" s="7">
        <f t="shared" si="79"/>
        <v>-42866.484233257281</v>
      </c>
      <c r="AR411" s="7">
        <f t="shared" si="80"/>
        <v>2135.6999114609516</v>
      </c>
      <c r="AS411" s="7"/>
      <c r="AT411" s="7">
        <f t="shared" si="81"/>
        <v>4631.4053112754564</v>
      </c>
      <c r="AU411" s="7">
        <f t="shared" si="82"/>
        <v>-2805.1625167148218</v>
      </c>
      <c r="AV411" s="7"/>
      <c r="AX411" s="7">
        <f t="shared" si="83"/>
        <v>126.26198239880038</v>
      </c>
      <c r="AY411" s="7">
        <f t="shared" si="84"/>
        <v>10.773740119583392</v>
      </c>
      <c r="BB411" s="7">
        <f t="shared" si="85"/>
        <v>257.42019107581751</v>
      </c>
      <c r="BC411" s="7">
        <f t="shared" si="86"/>
        <v>88.532614407112746</v>
      </c>
      <c r="BF411" s="7">
        <f t="shared" si="87"/>
        <v>253.7853310210858</v>
      </c>
      <c r="BG411" s="7">
        <f t="shared" si="88"/>
        <v>-114.84534047363881</v>
      </c>
      <c r="BI411" s="10">
        <f t="shared" si="89"/>
        <v>637.46750449570368</v>
      </c>
      <c r="BJ411">
        <f t="shared" si="90"/>
        <v>-15.538985946942676</v>
      </c>
    </row>
    <row r="412" spans="42:62" x14ac:dyDescent="0.25">
      <c r="AP412" s="1">
        <v>407</v>
      </c>
      <c r="AQ412" s="7">
        <f t="shared" si="79"/>
        <v>-40471.098139557587</v>
      </c>
      <c r="AR412" s="7">
        <f t="shared" si="80"/>
        <v>731.17627986017294</v>
      </c>
      <c r="AS412" s="7"/>
      <c r="AT412" s="7">
        <f t="shared" si="81"/>
        <v>4950.1390635233083</v>
      </c>
      <c r="AU412" s="7">
        <f t="shared" si="82"/>
        <v>-2812.932009688293</v>
      </c>
      <c r="AV412" s="7"/>
      <c r="AX412" s="7">
        <f t="shared" si="83"/>
        <v>135.03008281798662</v>
      </c>
      <c r="AY412" s="7">
        <f t="shared" si="84"/>
        <v>15.11457300480107</v>
      </c>
      <c r="BB412" s="7">
        <f t="shared" si="85"/>
        <v>281.9657366391628</v>
      </c>
      <c r="BC412" s="7">
        <f t="shared" si="86"/>
        <v>127.66734301261347</v>
      </c>
      <c r="BF412" s="7">
        <f t="shared" si="87"/>
        <v>288.66181610096112</v>
      </c>
      <c r="BG412" s="7">
        <f t="shared" si="88"/>
        <v>-128.01943420197242</v>
      </c>
      <c r="BI412" s="10">
        <f t="shared" si="89"/>
        <v>705.65763555811054</v>
      </c>
      <c r="BJ412">
        <f t="shared" si="90"/>
        <v>14.762481815442126</v>
      </c>
    </row>
    <row r="413" spans="42:62" x14ac:dyDescent="0.25">
      <c r="AP413" s="1">
        <v>408</v>
      </c>
      <c r="AQ413" s="7">
        <f t="shared" si="79"/>
        <v>-37907.821403351169</v>
      </c>
      <c r="AR413" s="7">
        <f t="shared" si="80"/>
        <v>-673.44441475704332</v>
      </c>
      <c r="AS413" s="7"/>
      <c r="AT413" s="7">
        <f t="shared" si="81"/>
        <v>5302.9678813023638</v>
      </c>
      <c r="AU413" s="7">
        <f t="shared" si="82"/>
        <v>-2805.5507687805721</v>
      </c>
      <c r="AV413" s="7"/>
      <c r="AX413" s="7">
        <f t="shared" si="83"/>
        <v>145.17755079831215</v>
      </c>
      <c r="AY413" s="7">
        <f t="shared" si="84"/>
        <v>20.491198131171657</v>
      </c>
      <c r="BB413" s="7">
        <f t="shared" si="85"/>
        <v>302.40519192391758</v>
      </c>
      <c r="BC413" s="7">
        <f t="shared" si="86"/>
        <v>180.23995962623661</v>
      </c>
      <c r="BF413" s="7">
        <f t="shared" si="87"/>
        <v>333.1435970010877</v>
      </c>
      <c r="BG413" s="7">
        <f t="shared" si="88"/>
        <v>-145.03543707143811</v>
      </c>
      <c r="BI413" s="10">
        <f t="shared" si="89"/>
        <v>780.72633972331744</v>
      </c>
      <c r="BJ413">
        <f t="shared" si="90"/>
        <v>55.695720685970159</v>
      </c>
    </row>
    <row r="414" spans="42:62" x14ac:dyDescent="0.25">
      <c r="AP414" s="1">
        <v>409</v>
      </c>
      <c r="AQ414" s="7">
        <f t="shared" si="79"/>
        <v>-35158.74667023457</v>
      </c>
      <c r="AR414" s="7">
        <f t="shared" si="80"/>
        <v>-2069.2578340615833</v>
      </c>
      <c r="AS414" s="7"/>
      <c r="AT414" s="7">
        <f t="shared" si="81"/>
        <v>5693.3310511640229</v>
      </c>
      <c r="AU414" s="7">
        <f t="shared" si="82"/>
        <v>-2777.7029084375872</v>
      </c>
      <c r="AV414" s="7"/>
      <c r="AX414" s="7">
        <f t="shared" si="83"/>
        <v>157.03313438462257</v>
      </c>
      <c r="AY414" s="7">
        <f t="shared" si="84"/>
        <v>27.243014791490815</v>
      </c>
      <c r="BB414" s="7">
        <f t="shared" si="85"/>
        <v>311.32155660909461</v>
      </c>
      <c r="BC414" s="7">
        <f t="shared" si="86"/>
        <v>247.8714248450739</v>
      </c>
      <c r="BF414" s="7">
        <f t="shared" si="87"/>
        <v>391.18602817273091</v>
      </c>
      <c r="BG414" s="7">
        <f t="shared" si="88"/>
        <v>-167.72333825833226</v>
      </c>
      <c r="BI414" s="10">
        <f t="shared" si="89"/>
        <v>859.54071916644807</v>
      </c>
      <c r="BJ414">
        <f t="shared" si="90"/>
        <v>107.39110137823246</v>
      </c>
    </row>
    <row r="415" spans="42:62" x14ac:dyDescent="0.25">
      <c r="AP415" s="1">
        <v>410</v>
      </c>
      <c r="AQ415" s="7">
        <f t="shared" si="79"/>
        <v>-32204.638554756752</v>
      </c>
      <c r="AR415" s="7">
        <f t="shared" si="80"/>
        <v>-3444.685400608098</v>
      </c>
      <c r="AS415" s="7"/>
      <c r="AT415" s="7">
        <f t="shared" si="81"/>
        <v>6123.1014107472474</v>
      </c>
      <c r="AU415" s="7">
        <f t="shared" si="82"/>
        <v>-2724.0073577484709</v>
      </c>
      <c r="AV415" s="7"/>
      <c r="AX415" s="7">
        <f t="shared" si="83"/>
        <v>171.02332315891258</v>
      </c>
      <c r="AY415" s="7">
        <f t="shared" si="84"/>
        <v>35.854983770791343</v>
      </c>
      <c r="BB415" s="7">
        <f t="shared" si="85"/>
        <v>297.40806678770116</v>
      </c>
      <c r="BC415" s="7">
        <f t="shared" si="86"/>
        <v>327.62608049586584</v>
      </c>
      <c r="BF415" s="7">
        <f t="shared" si="87"/>
        <v>468.87699184828273</v>
      </c>
      <c r="BG415" s="7">
        <f t="shared" si="88"/>
        <v>-199.15799058745716</v>
      </c>
      <c r="BI415" s="10">
        <f t="shared" si="89"/>
        <v>937.30838179489649</v>
      </c>
      <c r="BJ415">
        <f t="shared" si="90"/>
        <v>164.32307367920001</v>
      </c>
    </row>
    <row r="416" spans="42:62" x14ac:dyDescent="0.25">
      <c r="AP416" s="1">
        <v>411</v>
      </c>
      <c r="AQ416" s="7">
        <f t="shared" si="79"/>
        <v>-29025.924301658764</v>
      </c>
      <c r="AR416" s="7">
        <f t="shared" si="80"/>
        <v>-4786.1486952724335</v>
      </c>
      <c r="AS416" s="7"/>
      <c r="AT416" s="7">
        <f t="shared" si="81"/>
        <v>6591.7556016446961</v>
      </c>
      <c r="AU416" s="7">
        <f t="shared" si="82"/>
        <v>-2641.8458209088708</v>
      </c>
      <c r="AV416" s="7"/>
      <c r="AX416" s="7">
        <f t="shared" si="83"/>
        <v>187.69495504097804</v>
      </c>
      <c r="AY416" s="7">
        <f t="shared" si="84"/>
        <v>47.037320761087749</v>
      </c>
      <c r="BB416" s="7">
        <f t="shared" si="85"/>
        <v>248.52170019580231</v>
      </c>
      <c r="BC416" s="7">
        <f t="shared" si="86"/>
        <v>407.12493150665188</v>
      </c>
      <c r="BF416" s="7">
        <f t="shared" si="87"/>
        <v>575.74309950571376</v>
      </c>
      <c r="BG416" s="7">
        <f t="shared" si="88"/>
        <v>-244.75871705249361</v>
      </c>
      <c r="BI416" s="10">
        <f t="shared" si="89"/>
        <v>1011.9597547424941</v>
      </c>
      <c r="BJ416">
        <f t="shared" si="90"/>
        <v>209.40353521524602</v>
      </c>
    </row>
    <row r="417" spans="42:62" x14ac:dyDescent="0.25">
      <c r="AP417" s="1">
        <v>412</v>
      </c>
      <c r="AQ417" s="7">
        <f t="shared" si="79"/>
        <v>-25603.551531493602</v>
      </c>
      <c r="AR417" s="7">
        <f t="shared" si="80"/>
        <v>-6080.896163824963</v>
      </c>
      <c r="AS417" s="7"/>
      <c r="AT417" s="7">
        <f t="shared" si="81"/>
        <v>7097.7354790159434</v>
      </c>
      <c r="AU417" s="7">
        <f t="shared" si="82"/>
        <v>-2537.1440533012478</v>
      </c>
      <c r="AV417" s="7"/>
      <c r="AX417" s="7">
        <f t="shared" si="83"/>
        <v>207.72641727145646</v>
      </c>
      <c r="AY417" s="7">
        <f t="shared" si="84"/>
        <v>61.861649119559921</v>
      </c>
      <c r="BB417" s="7">
        <f t="shared" si="85"/>
        <v>161.23753574445925</v>
      </c>
      <c r="BC417" s="7">
        <f t="shared" si="86"/>
        <v>462.71441521419439</v>
      </c>
      <c r="BF417" s="7">
        <f t="shared" si="87"/>
        <v>726.64802771634106</v>
      </c>
      <c r="BG417" s="7">
        <f t="shared" si="88"/>
        <v>-314.55980788784007</v>
      </c>
      <c r="BI417" s="10">
        <f t="shared" si="89"/>
        <v>1095.6119807322568</v>
      </c>
      <c r="BJ417">
        <f t="shared" si="90"/>
        <v>210.01625644591425</v>
      </c>
    </row>
    <row r="418" spans="42:62" x14ac:dyDescent="0.25">
      <c r="AP418" s="1">
        <v>413</v>
      </c>
      <c r="AQ418" s="7">
        <f t="shared" si="79"/>
        <v>-21917.732294394096</v>
      </c>
      <c r="AR418" s="7">
        <f t="shared" si="80"/>
        <v>-7323.2161584198475</v>
      </c>
      <c r="AS418" s="7"/>
      <c r="AT418" s="7">
        <f t="shared" si="81"/>
        <v>7645.5414693820721</v>
      </c>
      <c r="AU418" s="7">
        <f t="shared" si="82"/>
        <v>-2432.1359250782907</v>
      </c>
      <c r="AV418" s="7"/>
      <c r="AX418" s="7">
        <f t="shared" si="83"/>
        <v>231.89792121808151</v>
      </c>
      <c r="AY418" s="7">
        <f t="shared" si="84"/>
        <v>82.005223678656677</v>
      </c>
      <c r="BB418" s="7">
        <f t="shared" si="85"/>
        <v>51.980500690004625</v>
      </c>
      <c r="BC418" s="7">
        <f t="shared" si="86"/>
        <v>469.54908779921431</v>
      </c>
      <c r="BF418" s="7">
        <f t="shared" si="87"/>
        <v>943.17422122874632</v>
      </c>
      <c r="BG418" s="7">
        <f t="shared" si="88"/>
        <v>-427.98552993553574</v>
      </c>
      <c r="BI418" s="10">
        <f t="shared" si="89"/>
        <v>1227.0526431368326</v>
      </c>
      <c r="BJ418">
        <f t="shared" si="90"/>
        <v>123.56878154233524</v>
      </c>
    </row>
    <row r="419" spans="42:62" x14ac:dyDescent="0.25">
      <c r="AP419" s="1">
        <v>414</v>
      </c>
      <c r="AQ419" s="7">
        <f t="shared" si="79"/>
        <v>-17941.579979310958</v>
      </c>
      <c r="AR419" s="7">
        <f t="shared" si="80"/>
        <v>-8523.8380232662021</v>
      </c>
      <c r="AS419" s="7"/>
      <c r="AT419" s="7">
        <f t="shared" si="81"/>
        <v>8259.0677909504884</v>
      </c>
      <c r="AU419" s="7">
        <f t="shared" si="82"/>
        <v>-2370.3515343071231</v>
      </c>
      <c r="AV419" s="7"/>
      <c r="AX419" s="7">
        <f t="shared" si="83"/>
        <v>260.93719086088242</v>
      </c>
      <c r="AY419" s="7">
        <f t="shared" si="84"/>
        <v>110.20140128273094</v>
      </c>
      <c r="BB419" s="7">
        <f t="shared" si="85"/>
        <v>-46.846388974599272</v>
      </c>
      <c r="BC419" s="7">
        <f t="shared" si="86"/>
        <v>421.57330021008971</v>
      </c>
      <c r="BF419" s="7">
        <f t="shared" si="87"/>
        <v>1244.951616327402</v>
      </c>
      <c r="BG419" s="7">
        <f t="shared" si="88"/>
        <v>-622.99258154119696</v>
      </c>
      <c r="BI419" s="10">
        <f t="shared" si="89"/>
        <v>1459.0424182136853</v>
      </c>
      <c r="BJ419">
        <f t="shared" si="90"/>
        <v>-91.217880048376301</v>
      </c>
    </row>
    <row r="420" spans="42:62" x14ac:dyDescent="0.25">
      <c r="AP420" s="1">
        <v>415</v>
      </c>
      <c r="AQ420" s="7">
        <f t="shared" si="79"/>
        <v>-13629.665781559002</v>
      </c>
      <c r="AR420" s="7">
        <f t="shared" si="80"/>
        <v>-9720.4160254258113</v>
      </c>
      <c r="AS420" s="7"/>
      <c r="AT420" s="7">
        <f t="shared" si="81"/>
        <v>8988.5890000573308</v>
      </c>
      <c r="AU420" s="7">
        <f t="shared" si="82"/>
        <v>-2415.9604743313112</v>
      </c>
      <c r="AV420" s="7"/>
      <c r="AX420" s="7">
        <f t="shared" si="83"/>
        <v>294.95146742939488</v>
      </c>
      <c r="AY420" s="7">
        <f t="shared" si="84"/>
        <v>151.03293055113289</v>
      </c>
      <c r="BB420" s="7">
        <f t="shared" si="85"/>
        <v>-109.31122675387574</v>
      </c>
      <c r="BC420" s="7">
        <f t="shared" si="86"/>
        <v>338.39085892790689</v>
      </c>
      <c r="BF420" s="7">
        <f t="shared" si="87"/>
        <v>1569.8329369176317</v>
      </c>
      <c r="BG420" s="7">
        <f t="shared" si="88"/>
        <v>-960.41550464446505</v>
      </c>
      <c r="BI420" s="10">
        <f t="shared" si="89"/>
        <v>1755.4731775931509</v>
      </c>
      <c r="BJ420">
        <f t="shared" si="90"/>
        <v>-470.99171516542521</v>
      </c>
    </row>
    <row r="421" spans="42:62" x14ac:dyDescent="0.25">
      <c r="AP421" s="1">
        <v>416</v>
      </c>
      <c r="AQ421" s="7">
        <f t="shared" si="79"/>
        <v>-8915.9371343311923</v>
      </c>
      <c r="AR421" s="7">
        <f t="shared" si="80"/>
        <v>-10987.270226987144</v>
      </c>
      <c r="AS421" s="7"/>
      <c r="AT421" s="7">
        <f t="shared" si="81"/>
        <v>9866.3255888539061</v>
      </c>
      <c r="AU421" s="7">
        <f t="shared" si="82"/>
        <v>-2651.4563319140238</v>
      </c>
      <c r="AV421" s="7"/>
      <c r="AX421" s="7">
        <f t="shared" si="83"/>
        <v>331.42494675095213</v>
      </c>
      <c r="AY421" s="7">
        <f t="shared" si="84"/>
        <v>211.89500178000691</v>
      </c>
      <c r="BB421" s="7">
        <f t="shared" si="85"/>
        <v>-131.37779509460293</v>
      </c>
      <c r="BC421" s="7">
        <f t="shared" si="86"/>
        <v>248.75908057291645</v>
      </c>
      <c r="BF421" s="7">
        <f t="shared" si="87"/>
        <v>1360.6926475897653</v>
      </c>
      <c r="BG421" s="7">
        <f t="shared" si="88"/>
        <v>-1394.3257288362154</v>
      </c>
      <c r="BI421" s="10">
        <f t="shared" si="89"/>
        <v>1560.7397992461144</v>
      </c>
      <c r="BJ421">
        <f t="shared" si="90"/>
        <v>-933.67164648329208</v>
      </c>
    </row>
    <row r="422" spans="42:62" x14ac:dyDescent="0.25">
      <c r="AP422" s="1">
        <v>417</v>
      </c>
      <c r="AQ422" s="7">
        <f t="shared" si="79"/>
        <v>-3787.6818649984748</v>
      </c>
      <c r="AR422" s="7">
        <f t="shared" si="80"/>
        <v>-12429.707348754568</v>
      </c>
      <c r="AS422" s="7"/>
      <c r="AT422" s="7">
        <f t="shared" si="81"/>
        <v>10646.695488476964</v>
      </c>
      <c r="AU422" s="7">
        <f t="shared" si="82"/>
        <v>-3118.2921551556701</v>
      </c>
      <c r="AV422" s="7"/>
      <c r="AX422" s="7">
        <f t="shared" si="83"/>
        <v>359.3536148936617</v>
      </c>
      <c r="AY422" s="7">
        <f t="shared" si="84"/>
        <v>301.07231214007948</v>
      </c>
      <c r="BB422" s="7">
        <f t="shared" si="85"/>
        <v>-125.15741274130926</v>
      </c>
      <c r="BC422" s="7">
        <f t="shared" si="86"/>
        <v>173.15501194453884</v>
      </c>
      <c r="BF422" s="7">
        <f t="shared" si="87"/>
        <v>-564.96378447785332</v>
      </c>
      <c r="BG422" s="7">
        <f t="shared" si="88"/>
        <v>-1197.8062701020372</v>
      </c>
      <c r="BI422" s="10">
        <f t="shared" si="89"/>
        <v>-330.76758232550088</v>
      </c>
      <c r="BJ422">
        <f t="shared" si="90"/>
        <v>-723.57894601741896</v>
      </c>
    </row>
    <row r="423" spans="42:62" x14ac:dyDescent="0.25">
      <c r="AP423" s="1">
        <v>418</v>
      </c>
      <c r="AQ423" s="7">
        <f t="shared" si="79"/>
        <v>1494.3199314493195</v>
      </c>
      <c r="AR423" s="7">
        <f t="shared" si="80"/>
        <v>-14079.30079458458</v>
      </c>
      <c r="AS423" s="7"/>
      <c r="AT423" s="7">
        <f t="shared" si="81"/>
        <v>10481.311697314213</v>
      </c>
      <c r="AU423" s="7">
        <f t="shared" si="82"/>
        <v>-3480.0816281643797</v>
      </c>
      <c r="AV423" s="7"/>
      <c r="AX423" s="7">
        <f t="shared" si="83"/>
        <v>354.06598614183162</v>
      </c>
      <c r="AY423" s="7">
        <f t="shared" si="84"/>
        <v>412.87304156254038</v>
      </c>
      <c r="BB423" s="7">
        <f t="shared" si="85"/>
        <v>-107.1488956597935</v>
      </c>
      <c r="BC423" s="7">
        <f t="shared" si="86"/>
        <v>120.03499048251847</v>
      </c>
      <c r="BF423" s="7">
        <f t="shared" si="87"/>
        <v>-1988.0141711900346</v>
      </c>
      <c r="BG423" s="7">
        <f t="shared" si="88"/>
        <v>-281.8406064206298</v>
      </c>
      <c r="BI423" s="10">
        <f t="shared" si="89"/>
        <v>-1741.0970807079966</v>
      </c>
      <c r="BJ423">
        <f t="shared" si="90"/>
        <v>251.06742562442906</v>
      </c>
    </row>
    <row r="424" spans="42:62" x14ac:dyDescent="0.25">
      <c r="AP424" s="1">
        <v>419</v>
      </c>
      <c r="AQ424" s="7">
        <f t="shared" si="79"/>
        <v>6517.3386450179269</v>
      </c>
      <c r="AR424" s="7">
        <f t="shared" si="80"/>
        <v>-15787.958180463716</v>
      </c>
      <c r="AS424" s="7"/>
      <c r="AT424" s="7">
        <f t="shared" si="81"/>
        <v>9610.7631569602145</v>
      </c>
      <c r="AU424" s="7">
        <f t="shared" si="82"/>
        <v>-3354.5479153521651</v>
      </c>
      <c r="AV424" s="7"/>
      <c r="AX424" s="7">
        <f t="shared" si="83"/>
        <v>298.397761568166</v>
      </c>
      <c r="AY424" s="7">
        <f t="shared" si="84"/>
        <v>515.40822761788286</v>
      </c>
      <c r="BB424" s="7">
        <f t="shared" si="85"/>
        <v>-89.265051788937456</v>
      </c>
      <c r="BC424" s="7">
        <f t="shared" si="86"/>
        <v>86.809745628169935</v>
      </c>
      <c r="BF424" s="7">
        <f t="shared" si="87"/>
        <v>-1692.6318765294752</v>
      </c>
      <c r="BG424" s="7">
        <f t="shared" si="88"/>
        <v>115.80133004094498</v>
      </c>
      <c r="BI424" s="10">
        <f t="shared" si="89"/>
        <v>-1483.4991667502466</v>
      </c>
      <c r="BJ424">
        <f t="shared" si="90"/>
        <v>718.0193032869978</v>
      </c>
    </row>
    <row r="425" spans="42:62" x14ac:dyDescent="0.25">
      <c r="AP425" s="1">
        <v>420</v>
      </c>
      <c r="AQ425" s="7">
        <f t="shared" si="79"/>
        <v>11137.282827654253</v>
      </c>
      <c r="AR425" s="7">
        <f t="shared" si="80"/>
        <v>-17375.479725228925</v>
      </c>
      <c r="AS425" s="7"/>
      <c r="AT425" s="7">
        <f t="shared" si="81"/>
        <v>8869.0135735850909</v>
      </c>
      <c r="AU425" s="7">
        <f t="shared" si="82"/>
        <v>-2995.5382637086664</v>
      </c>
      <c r="AV425" s="7"/>
      <c r="AX425" s="7">
        <f t="shared" si="83"/>
        <v>206.11159967256614</v>
      </c>
      <c r="AY425" s="7">
        <f t="shared" si="84"/>
        <v>578.50485568777242</v>
      </c>
      <c r="BB425" s="7">
        <f t="shared" si="85"/>
        <v>-75.226263587063983</v>
      </c>
      <c r="BC425" s="7">
        <f t="shared" si="86"/>
        <v>66.137917846942059</v>
      </c>
      <c r="BF425" s="7">
        <f t="shared" si="87"/>
        <v>-1206.4515123347744</v>
      </c>
      <c r="BG425" s="7">
        <f t="shared" si="88"/>
        <v>177.59502250972344</v>
      </c>
      <c r="BI425" s="10">
        <f t="shared" si="89"/>
        <v>-1075.5661762492723</v>
      </c>
      <c r="BJ425">
        <f t="shared" si="90"/>
        <v>822.23779604443791</v>
      </c>
    </row>
    <row r="426" spans="42:62" x14ac:dyDescent="0.25">
      <c r="AP426" s="1">
        <v>421</v>
      </c>
      <c r="AQ426" s="7">
        <f t="shared" si="79"/>
        <v>15437.343842415641</v>
      </c>
      <c r="AR426" s="7">
        <f t="shared" si="80"/>
        <v>-18770.469132577702</v>
      </c>
      <c r="AS426" s="7"/>
      <c r="AT426" s="7">
        <f t="shared" si="81"/>
        <v>8331.2304854604554</v>
      </c>
      <c r="AU426" s="7">
        <f t="shared" si="82"/>
        <v>-2584.4193656864472</v>
      </c>
      <c r="AV426" s="7"/>
      <c r="AX426" s="7">
        <f t="shared" si="83"/>
        <v>103.44772045368249</v>
      </c>
      <c r="AY426" s="7">
        <f t="shared" si="84"/>
        <v>595.62238598597412</v>
      </c>
      <c r="BB426" s="7">
        <f t="shared" si="85"/>
        <v>-64.62588856521802</v>
      </c>
      <c r="BC426" s="7">
        <f t="shared" si="86"/>
        <v>52.467734049117951</v>
      </c>
      <c r="BF426" s="7">
        <f t="shared" si="87"/>
        <v>-872.32094313840844</v>
      </c>
      <c r="BG426" s="7">
        <f t="shared" si="88"/>
        <v>160.93378939871471</v>
      </c>
      <c r="BI426" s="10">
        <f t="shared" si="89"/>
        <v>-833.49911124994401</v>
      </c>
      <c r="BJ426">
        <f t="shared" si="90"/>
        <v>809.02390943380681</v>
      </c>
    </row>
    <row r="427" spans="42:62" x14ac:dyDescent="0.25">
      <c r="AP427" s="1">
        <v>422</v>
      </c>
      <c r="AQ427" s="7">
        <f t="shared" si="79"/>
        <v>19498.771696239626</v>
      </c>
      <c r="AR427" s="7">
        <f t="shared" si="80"/>
        <v>-19961.550826741699</v>
      </c>
      <c r="AS427" s="7"/>
      <c r="AT427" s="7">
        <f t="shared" si="81"/>
        <v>7914.480929835483</v>
      </c>
      <c r="AU427" s="7">
        <f t="shared" si="82"/>
        <v>-2179.9074109695439</v>
      </c>
      <c r="AV427" s="7"/>
      <c r="AX427" s="7">
        <f t="shared" si="83"/>
        <v>10.508760555487726</v>
      </c>
      <c r="AY427" s="7">
        <f t="shared" si="84"/>
        <v>575.759309591087</v>
      </c>
      <c r="BB427" s="7">
        <f t="shared" si="85"/>
        <v>-56.517697650909014</v>
      </c>
      <c r="BC427" s="7">
        <f t="shared" si="86"/>
        <v>42.87115264749719</v>
      </c>
      <c r="BF427" s="7">
        <f t="shared" si="87"/>
        <v>-657.36948905167424</v>
      </c>
      <c r="BG427" s="7">
        <f t="shared" si="88"/>
        <v>133.13206769381543</v>
      </c>
      <c r="BI427" s="10">
        <f t="shared" si="89"/>
        <v>-703.37842614709552</v>
      </c>
      <c r="BJ427">
        <f t="shared" si="90"/>
        <v>751.76252993239962</v>
      </c>
    </row>
    <row r="428" spans="42:62" x14ac:dyDescent="0.25">
      <c r="AP428" s="1">
        <v>423</v>
      </c>
      <c r="AQ428" s="7">
        <f t="shared" si="79"/>
        <v>23368.089857888979</v>
      </c>
      <c r="AR428" s="7">
        <f t="shared" si="80"/>
        <v>-20957.534215984921</v>
      </c>
      <c r="AS428" s="7"/>
      <c r="AT428" s="7">
        <f t="shared" si="81"/>
        <v>7562.7917167619353</v>
      </c>
      <c r="AU428" s="7">
        <f t="shared" si="82"/>
        <v>-1804.0261460033441</v>
      </c>
      <c r="AV428" s="7"/>
      <c r="AX428" s="7">
        <f t="shared" si="83"/>
        <v>-63.076687382832752</v>
      </c>
      <c r="AY428" s="7">
        <f t="shared" si="84"/>
        <v>532.94510098166006</v>
      </c>
      <c r="BB428" s="7">
        <f t="shared" si="85"/>
        <v>-50.180054770136785</v>
      </c>
      <c r="BC428" s="7">
        <f t="shared" si="86"/>
        <v>35.820133365267935</v>
      </c>
      <c r="BF428" s="7">
        <f t="shared" si="87"/>
        <v>-515.19319920168311</v>
      </c>
      <c r="BG428" s="7">
        <f t="shared" si="88"/>
        <v>108.19484595058891</v>
      </c>
      <c r="BI428" s="10">
        <f t="shared" si="89"/>
        <v>-628.44994135465265</v>
      </c>
      <c r="BJ428">
        <f t="shared" si="90"/>
        <v>676.96008029751692</v>
      </c>
    </row>
    <row r="429" spans="42:62" x14ac:dyDescent="0.25">
      <c r="AP429" s="1">
        <v>424</v>
      </c>
      <c r="AQ429" s="7">
        <f t="shared" si="79"/>
        <v>27070.929473600616</v>
      </c>
      <c r="AR429" s="7">
        <f t="shared" si="80"/>
        <v>-21774.927278949403</v>
      </c>
      <c r="AS429" s="7"/>
      <c r="AT429" s="7">
        <f t="shared" si="81"/>
        <v>7248.5667460846089</v>
      </c>
      <c r="AU429" s="7">
        <f t="shared" si="82"/>
        <v>-1465.5461058545857</v>
      </c>
      <c r="AV429" s="7"/>
      <c r="AX429" s="7">
        <f t="shared" si="83"/>
        <v>-115.85595595870896</v>
      </c>
      <c r="AY429" s="7">
        <f t="shared" si="84"/>
        <v>479.66461809401721</v>
      </c>
      <c r="BB429" s="7">
        <f t="shared" si="85"/>
        <v>-45.119486929061033</v>
      </c>
      <c r="BC429" s="7">
        <f t="shared" si="86"/>
        <v>30.457618578330496</v>
      </c>
      <c r="BF429" s="7">
        <f t="shared" si="87"/>
        <v>-417.21663088659125</v>
      </c>
      <c r="BG429" s="7">
        <f t="shared" si="88"/>
        <v>88.136277314683809</v>
      </c>
      <c r="BI429" s="10">
        <f t="shared" si="89"/>
        <v>-578.19207377436123</v>
      </c>
      <c r="BJ429">
        <f t="shared" si="90"/>
        <v>598.25851398703151</v>
      </c>
    </row>
    <row r="430" spans="42:62" x14ac:dyDescent="0.25">
      <c r="AP430" s="1">
        <v>425</v>
      </c>
      <c r="AQ430" s="7">
        <f t="shared" si="79"/>
        <v>30622.938837421127</v>
      </c>
      <c r="AR430" s="7">
        <f t="shared" si="80"/>
        <v>-22432.918017628315</v>
      </c>
      <c r="AS430" s="7"/>
      <c r="AT430" s="7">
        <f t="shared" si="81"/>
        <v>6959.4707091974287</v>
      </c>
      <c r="AU430" s="7">
        <f t="shared" si="82"/>
        <v>-1166.4168488610699</v>
      </c>
      <c r="AV430" s="7"/>
      <c r="AX430" s="7">
        <f t="shared" si="83"/>
        <v>-150.6426548442052</v>
      </c>
      <c r="AY430" s="7">
        <f t="shared" si="84"/>
        <v>424.47521410225318</v>
      </c>
      <c r="BB430" s="7">
        <f t="shared" si="85"/>
        <v>-40.999850120403288</v>
      </c>
      <c r="BC430" s="7">
        <f t="shared" si="86"/>
        <v>26.267632978809285</v>
      </c>
      <c r="BF430" s="7">
        <f t="shared" si="87"/>
        <v>-347.01852975360816</v>
      </c>
      <c r="BG430" s="7">
        <f t="shared" si="88"/>
        <v>72.40728492470474</v>
      </c>
      <c r="BI430" s="10">
        <f t="shared" si="89"/>
        <v>-538.66103471821657</v>
      </c>
      <c r="BJ430">
        <f t="shared" si="90"/>
        <v>523.1501320057672</v>
      </c>
    </row>
    <row r="431" spans="42:62" x14ac:dyDescent="0.25">
      <c r="AP431" s="1">
        <v>426</v>
      </c>
      <c r="AQ431" s="7">
        <f t="shared" si="79"/>
        <v>34035.341562680063</v>
      </c>
      <c r="AR431" s="7">
        <f t="shared" si="80"/>
        <v>-22950.732675558127</v>
      </c>
      <c r="AS431" s="7"/>
      <c r="AT431" s="7">
        <f t="shared" si="81"/>
        <v>6690.1401918383208</v>
      </c>
      <c r="AU431" s="7">
        <f t="shared" si="82"/>
        <v>-904.84178285818621</v>
      </c>
      <c r="AV431" s="7"/>
      <c r="AX431" s="7">
        <f t="shared" si="83"/>
        <v>-171.56269519437328</v>
      </c>
      <c r="AY431" s="7">
        <f t="shared" si="84"/>
        <v>372.21821393739936</v>
      </c>
      <c r="BB431" s="7">
        <f t="shared" si="85"/>
        <v>-37.588380338171419</v>
      </c>
      <c r="BC431" s="7">
        <f t="shared" si="86"/>
        <v>22.921381385062183</v>
      </c>
      <c r="BF431" s="7">
        <f t="shared" si="87"/>
        <v>-294.98149940375816</v>
      </c>
      <c r="BG431" s="7">
        <f t="shared" si="88"/>
        <v>60.081939906396116</v>
      </c>
      <c r="BI431" s="10">
        <f t="shared" si="89"/>
        <v>-504.13257493630283</v>
      </c>
      <c r="BJ431">
        <f t="shared" si="90"/>
        <v>455.22153522885765</v>
      </c>
    </row>
    <row r="432" spans="42:62" x14ac:dyDescent="0.25">
      <c r="AP432" s="1">
        <v>427</v>
      </c>
      <c r="AQ432" s="7">
        <f t="shared" si="79"/>
        <v>37317.395086732184</v>
      </c>
      <c r="AR432" s="7">
        <f t="shared" si="80"/>
        <v>-23346.250875083613</v>
      </c>
      <c r="AS432" s="7"/>
      <c r="AT432" s="7">
        <f t="shared" si="81"/>
        <v>6438.0739043701697</v>
      </c>
      <c r="AU432" s="7">
        <f t="shared" si="82"/>
        <v>-677.23101524375738</v>
      </c>
      <c r="AV432" s="7"/>
      <c r="AX432" s="7">
        <f t="shared" si="83"/>
        <v>-182.52120794202403</v>
      </c>
      <c r="AY432" s="7">
        <f t="shared" si="84"/>
        <v>325.1121165744209</v>
      </c>
      <c r="BB432" s="7">
        <f t="shared" si="85"/>
        <v>-34.720618860580416</v>
      </c>
      <c r="BC432" s="7">
        <f t="shared" si="86"/>
        <v>20.199844485449791</v>
      </c>
      <c r="BF432" s="7">
        <f t="shared" si="87"/>
        <v>-255.26616480137727</v>
      </c>
      <c r="BG432" s="7">
        <f t="shared" si="88"/>
        <v>50.346091648271511</v>
      </c>
      <c r="BI432" s="10">
        <f t="shared" si="89"/>
        <v>-472.50799160398174</v>
      </c>
      <c r="BJ432">
        <f t="shared" si="90"/>
        <v>395.65805270814218</v>
      </c>
    </row>
    <row r="433" spans="42:62" x14ac:dyDescent="0.25">
      <c r="AP433" s="1">
        <v>428</v>
      </c>
      <c r="AQ433" s="7">
        <f t="shared" si="79"/>
        <v>40477.368539966774</v>
      </c>
      <c r="AR433" s="7">
        <f t="shared" si="80"/>
        <v>-23635.409126116974</v>
      </c>
      <c r="AS433" s="7"/>
      <c r="AT433" s="7">
        <f t="shared" si="81"/>
        <v>6201.819908568179</v>
      </c>
      <c r="AU433" s="7">
        <f t="shared" si="82"/>
        <v>-479.40198888968632</v>
      </c>
      <c r="AV433" s="7"/>
      <c r="AX433" s="7">
        <f t="shared" si="83"/>
        <v>-186.65777796367433</v>
      </c>
      <c r="AY433" s="7">
        <f t="shared" si="84"/>
        <v>283.80923418592397</v>
      </c>
      <c r="BB433" s="7">
        <f t="shared" si="85"/>
        <v>-32.278002156624495</v>
      </c>
      <c r="BC433" s="7">
        <f t="shared" si="86"/>
        <v>17.951902249091269</v>
      </c>
      <c r="BF433" s="7">
        <f t="shared" si="87"/>
        <v>-224.19161088311813</v>
      </c>
      <c r="BG433" s="7">
        <f t="shared" si="88"/>
        <v>42.570323322853326</v>
      </c>
      <c r="BI433" s="10">
        <f t="shared" si="89"/>
        <v>-443.12739100341696</v>
      </c>
      <c r="BJ433">
        <f t="shared" si="90"/>
        <v>344.33145975786857</v>
      </c>
    </row>
    <row r="434" spans="42:62" x14ac:dyDescent="0.25">
      <c r="AP434" s="1">
        <v>429</v>
      </c>
      <c r="AQ434" s="7">
        <f t="shared" si="79"/>
        <v>43522.887570375438</v>
      </c>
      <c r="AR434" s="7">
        <f t="shared" si="80"/>
        <v>-23832.068688092084</v>
      </c>
      <c r="AS434" s="7"/>
      <c r="AT434" s="7">
        <f t="shared" si="81"/>
        <v>5980.2562130664701</v>
      </c>
      <c r="AU434" s="7">
        <f t="shared" si="82"/>
        <v>-307.23625901075206</v>
      </c>
      <c r="AV434" s="7"/>
      <c r="AX434" s="7">
        <f t="shared" si="83"/>
        <v>-186.29566589851501</v>
      </c>
      <c r="AY434" s="7">
        <f t="shared" si="84"/>
        <v>248.14252003556061</v>
      </c>
      <c r="BB434" s="7">
        <f t="shared" si="85"/>
        <v>-30.173393019616665</v>
      </c>
      <c r="BC434" s="7">
        <f t="shared" si="86"/>
        <v>16.070244037025535</v>
      </c>
      <c r="BF434" s="7">
        <f t="shared" si="87"/>
        <v>-199.35504845926189</v>
      </c>
      <c r="BG434" s="7">
        <f t="shared" si="88"/>
        <v>36.286329389537265</v>
      </c>
      <c r="BI434" s="10">
        <f t="shared" si="89"/>
        <v>-415.8241073773936</v>
      </c>
      <c r="BJ434">
        <f t="shared" si="90"/>
        <v>300.49909346212343</v>
      </c>
    </row>
    <row r="435" spans="42:62" x14ac:dyDescent="0.25">
      <c r="AP435" s="1">
        <v>430</v>
      </c>
      <c r="AQ435" s="7">
        <f t="shared" si="79"/>
        <v>46461.037663486502</v>
      </c>
      <c r="AR435" s="7">
        <f t="shared" si="80"/>
        <v>-23948.124430914693</v>
      </c>
      <c r="AS435" s="7"/>
      <c r="AT435" s="7">
        <f t="shared" si="81"/>
        <v>5772.3441593777734</v>
      </c>
      <c r="AU435" s="7">
        <f t="shared" si="82"/>
        <v>-156.98671227969035</v>
      </c>
      <c r="AV435" s="7"/>
      <c r="AX435" s="7">
        <f t="shared" si="83"/>
        <v>-183.07443466488971</v>
      </c>
      <c r="AY435" s="7">
        <f t="shared" si="84"/>
        <v>217.57830039316099</v>
      </c>
      <c r="BB435" s="7">
        <f t="shared" si="85"/>
        <v>-28.341582870732555</v>
      </c>
      <c r="BC435" s="7">
        <f t="shared" si="86"/>
        <v>14.476806497309751</v>
      </c>
      <c r="BF435" s="7">
        <f t="shared" si="87"/>
        <v>-179.13781109511726</v>
      </c>
      <c r="BG435" s="7">
        <f t="shared" si="88"/>
        <v>31.148758298322267</v>
      </c>
      <c r="BI435" s="10">
        <f t="shared" si="89"/>
        <v>-390.55382863073953</v>
      </c>
      <c r="BJ435">
        <f t="shared" si="90"/>
        <v>263.20386518879297</v>
      </c>
    </row>
    <row r="436" spans="42:62" x14ac:dyDescent="0.25">
      <c r="AP436" s="1">
        <v>431</v>
      </c>
      <c r="AQ436" s="7">
        <f t="shared" si="79"/>
        <v>49298.390514596547</v>
      </c>
      <c r="AR436" s="7">
        <f t="shared" si="80"/>
        <v>-23993.717303905942</v>
      </c>
      <c r="AS436" s="7"/>
      <c r="AT436" s="7">
        <f t="shared" si="81"/>
        <v>5577.0672450624033</v>
      </c>
      <c r="AU436" s="7">
        <f t="shared" si="82"/>
        <v>-25.384779685293864</v>
      </c>
      <c r="AV436" s="7"/>
      <c r="AX436" s="7">
        <f t="shared" si="83"/>
        <v>-178.11766112667968</v>
      </c>
      <c r="AY436" s="7">
        <f t="shared" si="84"/>
        <v>191.46400767516062</v>
      </c>
      <c r="BB436" s="7">
        <f t="shared" si="85"/>
        <v>-26.732946054415102</v>
      </c>
      <c r="BC436" s="7">
        <f t="shared" si="86"/>
        <v>13.113612078522102</v>
      </c>
      <c r="BF436" s="7">
        <f t="shared" si="87"/>
        <v>-162.41836945006074</v>
      </c>
      <c r="BG436" s="7">
        <f t="shared" si="88"/>
        <v>26.902176767145988</v>
      </c>
      <c r="BI436" s="10">
        <f t="shared" si="89"/>
        <v>-367.26897663115551</v>
      </c>
      <c r="BJ436">
        <f t="shared" si="90"/>
        <v>231.4797965208287</v>
      </c>
    </row>
    <row r="437" spans="42:62" x14ac:dyDescent="0.25">
      <c r="AP437" s="1">
        <v>432</v>
      </c>
      <c r="AQ437" s="7">
        <f t="shared" si="79"/>
        <v>52041.01551504885</v>
      </c>
      <c r="AR437" s="7">
        <f t="shared" si="80"/>
        <v>-23977.474719183483</v>
      </c>
      <c r="AS437" s="7"/>
      <c r="AT437" s="7">
        <f t="shared" si="81"/>
        <v>5393.4327567468254</v>
      </c>
      <c r="AU437" s="7">
        <f t="shared" si="82"/>
        <v>90.355118575120486</v>
      </c>
      <c r="AV437" s="7"/>
      <c r="AX437" s="7">
        <f t="shared" si="83"/>
        <v>-172.17998263460896</v>
      </c>
      <c r="AY437" s="7">
        <f t="shared" si="84"/>
        <v>169.15166274879198</v>
      </c>
      <c r="BB437" s="7">
        <f t="shared" si="85"/>
        <v>-25.30912478455587</v>
      </c>
      <c r="BC437" s="7">
        <f t="shared" si="86"/>
        <v>11.93681323595823</v>
      </c>
      <c r="BF437" s="7">
        <f t="shared" si="87"/>
        <v>-148.39994570932947</v>
      </c>
      <c r="BG437" s="7">
        <f t="shared" si="88"/>
        <v>23.356119257417919</v>
      </c>
      <c r="BI437" s="10">
        <f t="shared" si="89"/>
        <v>-345.88905312849431</v>
      </c>
      <c r="BJ437">
        <f t="shared" si="90"/>
        <v>204.44459524216813</v>
      </c>
    </row>
    <row r="438" spans="42:62" x14ac:dyDescent="0.25">
      <c r="AP438" s="1">
        <v>433</v>
      </c>
      <c r="AQ438" s="7">
        <f t="shared" si="79"/>
        <v>54694.495761781203</v>
      </c>
      <c r="AR438" s="7">
        <f t="shared" si="80"/>
        <v>-23906.74158549065</v>
      </c>
      <c r="AS438" s="7"/>
      <c r="AT438" s="7">
        <f t="shared" si="81"/>
        <v>5220.4882301825783</v>
      </c>
      <c r="AU438" s="7">
        <f t="shared" si="82"/>
        <v>192.57741619620455</v>
      </c>
      <c r="AV438" s="7"/>
      <c r="AX438" s="7">
        <f t="shared" si="83"/>
        <v>-165.76008600428858</v>
      </c>
      <c r="AY438" s="7">
        <f t="shared" si="84"/>
        <v>150.05216452980446</v>
      </c>
      <c r="BB438" s="7">
        <f t="shared" si="85"/>
        <v>-24.040044087450084</v>
      </c>
      <c r="BC438" s="7">
        <f t="shared" si="86"/>
        <v>10.912712566888272</v>
      </c>
      <c r="BF438" s="7">
        <f t="shared" si="87"/>
        <v>-136.50370580496937</v>
      </c>
      <c r="BG438" s="7">
        <f t="shared" si="88"/>
        <v>20.367091095274951</v>
      </c>
      <c r="BI438" s="10">
        <f t="shared" si="89"/>
        <v>-326.30383589670805</v>
      </c>
      <c r="BJ438">
        <f t="shared" si="90"/>
        <v>181.33196819196769</v>
      </c>
    </row>
    <row r="439" spans="42:62" x14ac:dyDescent="0.25">
      <c r="AP439" s="1">
        <v>434</v>
      </c>
      <c r="AQ439" s="7">
        <f t="shared" si="79"/>
        <v>57263.951897385406</v>
      </c>
      <c r="AR439" s="7">
        <f t="shared" si="80"/>
        <v>-23787.786381368551</v>
      </c>
      <c r="AS439" s="7"/>
      <c r="AT439" s="7">
        <f t="shared" si="81"/>
        <v>5057.3363122342244</v>
      </c>
      <c r="AU439" s="7">
        <f t="shared" si="82"/>
        <v>283.24340029218843</v>
      </c>
      <c r="AV439" s="7"/>
      <c r="AX439" s="7">
        <f t="shared" si="83"/>
        <v>-159.18219211781926</v>
      </c>
      <c r="AY439" s="7">
        <f t="shared" si="84"/>
        <v>133.65352221404481</v>
      </c>
      <c r="BB439" s="7">
        <f t="shared" si="85"/>
        <v>-22.901812281165572</v>
      </c>
      <c r="BC439" s="7">
        <f t="shared" si="86"/>
        <v>10.015039641383012</v>
      </c>
      <c r="BF439" s="7">
        <f t="shared" si="87"/>
        <v>-126.30067955009025</v>
      </c>
      <c r="BG439" s="7">
        <f t="shared" si="88"/>
        <v>17.825778124990546</v>
      </c>
      <c r="BI439" s="10">
        <f t="shared" si="89"/>
        <v>-308.38468394907511</v>
      </c>
      <c r="BJ439">
        <f t="shared" si="90"/>
        <v>161.49433998041837</v>
      </c>
    </row>
    <row r="440" spans="42:62" x14ac:dyDescent="0.25">
      <c r="AP440" s="1">
        <v>435</v>
      </c>
      <c r="AQ440" s="7">
        <f t="shared" si="79"/>
        <v>59754.071968008888</v>
      </c>
      <c r="AR440" s="7">
        <f t="shared" si="80"/>
        <v>-23625.977888724905</v>
      </c>
      <c r="AS440" s="7"/>
      <c r="AT440" s="7">
        <f t="shared" si="81"/>
        <v>4903.1439702596872</v>
      </c>
      <c r="AU440" s="7">
        <f t="shared" si="82"/>
        <v>363.99057028239758</v>
      </c>
      <c r="AV440" s="7"/>
      <c r="AX440" s="7">
        <f t="shared" si="83"/>
        <v>-152.65287575243508</v>
      </c>
      <c r="AY440" s="7">
        <f t="shared" si="84"/>
        <v>119.52159364062614</v>
      </c>
      <c r="BB440" s="7">
        <f t="shared" si="85"/>
        <v>-21.875220673320161</v>
      </c>
      <c r="BC440" s="7">
        <f t="shared" si="86"/>
        <v>9.2230486609774278</v>
      </c>
      <c r="BF440" s="7">
        <f t="shared" si="87"/>
        <v>-117.46723156341076</v>
      </c>
      <c r="BG440" s="7">
        <f t="shared" si="88"/>
        <v>15.647969483931535</v>
      </c>
      <c r="BI440" s="10">
        <f t="shared" si="89"/>
        <v>-291.99532798916601</v>
      </c>
      <c r="BJ440">
        <f t="shared" si="90"/>
        <v>144.39261178553511</v>
      </c>
    </row>
    <row r="441" spans="42:62" x14ac:dyDescent="0.25">
      <c r="AP441" s="1">
        <v>436</v>
      </c>
      <c r="AQ441" s="7">
        <f t="shared" si="79"/>
        <v>62169.144537140084</v>
      </c>
      <c r="AR441" s="7">
        <f t="shared" si="80"/>
        <v>-23425.933527110516</v>
      </c>
      <c r="AS441" s="7"/>
      <c r="AT441" s="7">
        <f t="shared" si="81"/>
        <v>4757.1463062651046</v>
      </c>
      <c r="AU441" s="7">
        <f t="shared" si="82"/>
        <v>436.18687617516514</v>
      </c>
      <c r="AV441" s="7"/>
      <c r="AX441" s="7">
        <f t="shared" si="83"/>
        <v>-146.29996478643642</v>
      </c>
      <c r="AY441" s="7">
        <f t="shared" si="84"/>
        <v>107.29321250562869</v>
      </c>
      <c r="BB441" s="7">
        <f t="shared" si="85"/>
        <v>-20.944655172653263</v>
      </c>
      <c r="BC441" s="7">
        <f t="shared" si="86"/>
        <v>8.5201647831798919</v>
      </c>
      <c r="BF441" s="7">
        <f t="shared" si="87"/>
        <v>-109.75524441886648</v>
      </c>
      <c r="BG441" s="7">
        <f t="shared" si="88"/>
        <v>13.76808354636389</v>
      </c>
      <c r="BI441" s="10">
        <f t="shared" si="89"/>
        <v>-276.99986437795616</v>
      </c>
      <c r="BJ441">
        <f t="shared" si="90"/>
        <v>129.58146083517246</v>
      </c>
    </row>
    <row r="442" spans="42:62" x14ac:dyDescent="0.25">
      <c r="AP442" s="1">
        <v>437</v>
      </c>
      <c r="AQ442" s="7">
        <f t="shared" si="79"/>
        <v>64513.092707225391</v>
      </c>
      <c r="AR442" s="7">
        <f t="shared" si="80"/>
        <v>-23191.642406418534</v>
      </c>
      <c r="AS442" s="7"/>
      <c r="AT442" s="7">
        <f t="shared" si="81"/>
        <v>4618.6463740761264</v>
      </c>
      <c r="AU442" s="7">
        <f t="shared" si="82"/>
        <v>500.97760659275139</v>
      </c>
      <c r="AV442" s="7"/>
      <c r="AX442" s="7">
        <f t="shared" si="83"/>
        <v>-140.19890770820078</v>
      </c>
      <c r="AY442" s="7">
        <f t="shared" si="84"/>
        <v>96.666721619460034</v>
      </c>
      <c r="BB442" s="7">
        <f t="shared" si="85"/>
        <v>-20.097295400362473</v>
      </c>
      <c r="BC442" s="7">
        <f t="shared" si="86"/>
        <v>7.8930047510610297</v>
      </c>
      <c r="BF442" s="7">
        <f t="shared" si="87"/>
        <v>-102.97172213652654</v>
      </c>
      <c r="BG442" s="7">
        <f t="shared" si="88"/>
        <v>12.134512979708646</v>
      </c>
      <c r="BI442" s="10">
        <f t="shared" si="89"/>
        <v>-263.26792524508977</v>
      </c>
      <c r="BJ442">
        <f t="shared" si="90"/>
        <v>116.69423935022971</v>
      </c>
    </row>
    <row r="443" spans="42:62" x14ac:dyDescent="0.25">
      <c r="AP443" s="1">
        <v>438</v>
      </c>
      <c r="AQ443" s="7">
        <f t="shared" si="79"/>
        <v>66789.507403607815</v>
      </c>
      <c r="AR443" s="7">
        <f t="shared" si="80"/>
        <v>-22926.566823203379</v>
      </c>
      <c r="AS443" s="7"/>
      <c r="AT443" s="7">
        <f t="shared" si="81"/>
        <v>4487.012411453582</v>
      </c>
      <c r="AU443" s="7">
        <f t="shared" si="82"/>
        <v>559.32472626786625</v>
      </c>
      <c r="AV443" s="7"/>
      <c r="AX443" s="7">
        <f t="shared" si="83"/>
        <v>-134.39055451650248</v>
      </c>
      <c r="AY443" s="7">
        <f t="shared" si="84"/>
        <v>87.392311103673293</v>
      </c>
      <c r="BB443" s="7">
        <f t="shared" si="85"/>
        <v>-19.322517414915151</v>
      </c>
      <c r="BC443" s="7">
        <f t="shared" si="86"/>
        <v>7.3306575862448904</v>
      </c>
      <c r="BF443" s="7">
        <f t="shared" si="87"/>
        <v>-96.964563459281862</v>
      </c>
      <c r="BG443" s="7">
        <f t="shared" si="88"/>
        <v>10.706245516097749</v>
      </c>
      <c r="BI443" s="10">
        <f t="shared" si="89"/>
        <v>-250.67763539069949</v>
      </c>
      <c r="BJ443">
        <f t="shared" si="90"/>
        <v>105.42921420601593</v>
      </c>
    </row>
    <row r="444" spans="42:62" x14ac:dyDescent="0.25">
      <c r="AP444" s="1">
        <v>439</v>
      </c>
      <c r="AQ444" s="7">
        <f t="shared" si="79"/>
        <v>69001.678904910776</v>
      </c>
      <c r="AR444" s="7">
        <f t="shared" si="80"/>
        <v>-22633.725808293693</v>
      </c>
      <c r="AS444" s="7"/>
      <c r="AT444" s="7">
        <f t="shared" si="81"/>
        <v>4361.6735937582325</v>
      </c>
      <c r="AU444" s="7">
        <f t="shared" si="82"/>
        <v>612.03933337087426</v>
      </c>
      <c r="AV444" s="7"/>
      <c r="AX444" s="7">
        <f t="shared" si="83"/>
        <v>-128.89311593702698</v>
      </c>
      <c r="AY444" s="7">
        <f t="shared" si="84"/>
        <v>79.263198752027591</v>
      </c>
      <c r="BB444" s="7">
        <f t="shared" si="85"/>
        <v>-18.611442659742064</v>
      </c>
      <c r="BC444" s="7">
        <f t="shared" si="86"/>
        <v>6.8241489837928322</v>
      </c>
      <c r="BF444" s="7">
        <f t="shared" si="87"/>
        <v>-91.612460575058051</v>
      </c>
      <c r="BG444" s="7">
        <f t="shared" si="88"/>
        <v>9.4503856534354966</v>
      </c>
      <c r="BI444" s="10">
        <f t="shared" si="89"/>
        <v>-239.11701917182711</v>
      </c>
      <c r="BJ444">
        <f t="shared" si="90"/>
        <v>95.537733389255919</v>
      </c>
    </row>
    <row r="445" spans="42:62" x14ac:dyDescent="0.25">
      <c r="AP445" s="1">
        <v>440</v>
      </c>
      <c r="AQ445" s="7">
        <f t="shared" si="79"/>
        <v>71152.626074393411</v>
      </c>
      <c r="AR445" s="7">
        <f t="shared" si="80"/>
        <v>-22315.763924934599</v>
      </c>
      <c r="AS445" s="7"/>
      <c r="AT445" s="7">
        <f t="shared" si="81"/>
        <v>4242.1150841723193</v>
      </c>
      <c r="AU445" s="7">
        <f t="shared" si="82"/>
        <v>659.80820006550221</v>
      </c>
      <c r="AV445" s="7"/>
      <c r="AX445" s="7">
        <f t="shared" si="83"/>
        <v>-123.71019484064516</v>
      </c>
      <c r="AY445" s="7">
        <f t="shared" si="84"/>
        <v>72.108007888235846</v>
      </c>
      <c r="BB445" s="7">
        <f t="shared" si="85"/>
        <v>-17.956593313654871</v>
      </c>
      <c r="BC445" s="7">
        <f t="shared" si="86"/>
        <v>6.3660374408361937</v>
      </c>
      <c r="BF445" s="7">
        <f t="shared" si="87"/>
        <v>-86.817609293225345</v>
      </c>
      <c r="BG445" s="7">
        <f t="shared" si="88"/>
        <v>8.3403182116921357</v>
      </c>
      <c r="BI445" s="10">
        <f t="shared" si="89"/>
        <v>-228.48439744752537</v>
      </c>
      <c r="BJ445">
        <f t="shared" si="90"/>
        <v>86.814363540764177</v>
      </c>
    </row>
    <row r="446" spans="42:62" x14ac:dyDescent="0.25">
      <c r="AP446" s="1">
        <v>441</v>
      </c>
      <c r="AQ446" s="7">
        <f t="shared" si="79"/>
        <v>73245.123066798624</v>
      </c>
      <c r="AR446" s="7">
        <f t="shared" si="80"/>
        <v>-21975.008029459252</v>
      </c>
      <c r="AS446" s="7"/>
      <c r="AT446" s="7">
        <f t="shared" si="81"/>
        <v>4127.8728854485562</v>
      </c>
      <c r="AU446" s="7">
        <f t="shared" si="82"/>
        <v>703.21538183588427</v>
      </c>
      <c r="AV446" s="7"/>
      <c r="AX446" s="7">
        <f t="shared" si="83"/>
        <v>-118.83617187192446</v>
      </c>
      <c r="AY446" s="7">
        <f t="shared" si="84"/>
        <v>65.784374574942134</v>
      </c>
      <c r="BB446" s="7">
        <f t="shared" si="85"/>
        <v>-17.351626039173521</v>
      </c>
      <c r="BC446" s="7">
        <f t="shared" si="86"/>
        <v>5.9501061683332068</v>
      </c>
      <c r="BF446" s="7">
        <f t="shared" si="87"/>
        <v>-82.500369005419159</v>
      </c>
      <c r="BG446" s="7">
        <f t="shared" si="88"/>
        <v>7.3543335826169054</v>
      </c>
      <c r="BI446" s="10">
        <f t="shared" si="89"/>
        <v>-218.68816691651716</v>
      </c>
      <c r="BJ446">
        <f t="shared" si="90"/>
        <v>79.088814325892244</v>
      </c>
    </row>
    <row r="447" spans="42:62" x14ac:dyDescent="0.25">
      <c r="AP447" s="1">
        <v>442</v>
      </c>
      <c r="AQ447" s="7">
        <f t="shared" si="79"/>
        <v>75281.723488658346</v>
      </c>
      <c r="AR447" s="7">
        <f t="shared" si="80"/>
        <v>-21613.514236750572</v>
      </c>
      <c r="AS447" s="7"/>
      <c r="AT447" s="7">
        <f t="shared" si="81"/>
        <v>4018.5288019902978</v>
      </c>
      <c r="AU447" s="7">
        <f t="shared" si="82"/>
        <v>742.75978899883035</v>
      </c>
      <c r="AV447" s="7"/>
      <c r="AX447" s="7">
        <f t="shared" si="83"/>
        <v>-114.2598084279276</v>
      </c>
      <c r="AY447" s="7">
        <f t="shared" si="84"/>
        <v>60.173676749375083</v>
      </c>
      <c r="BB447" s="7">
        <f t="shared" si="85"/>
        <v>-16.791124177693082</v>
      </c>
      <c r="BC447" s="7">
        <f t="shared" si="86"/>
        <v>5.571125540206384</v>
      </c>
      <c r="BF447" s="7">
        <f t="shared" si="87"/>
        <v>-78.595296817110778</v>
      </c>
      <c r="BG447" s="7">
        <f t="shared" si="88"/>
        <v>6.4745883851762551</v>
      </c>
      <c r="BI447" s="10">
        <f t="shared" si="89"/>
        <v>-209.64622942273144</v>
      </c>
      <c r="BJ447">
        <f t="shared" si="90"/>
        <v>72.219390674757719</v>
      </c>
    </row>
    <row r="448" spans="42:62" x14ac:dyDescent="0.25">
      <c r="AP448" s="1">
        <v>443</v>
      </c>
      <c r="AQ448" s="7">
        <f t="shared" si="79"/>
        <v>77264.782110975648</v>
      </c>
      <c r="AR448" s="7">
        <f t="shared" si="80"/>
        <v>-21233.106918416812</v>
      </c>
      <c r="AS448" s="7"/>
      <c r="AT448" s="7">
        <f t="shared" si="81"/>
        <v>3913.7056872789321</v>
      </c>
      <c r="AU448" s="7">
        <f t="shared" si="82"/>
        <v>778.86948433620921</v>
      </c>
      <c r="AV448" s="7"/>
      <c r="AX448" s="7">
        <f t="shared" si="83"/>
        <v>-109.96664720345741</v>
      </c>
      <c r="AY448" s="7">
        <f t="shared" si="84"/>
        <v>55.176730183544393</v>
      </c>
      <c r="BB448" s="7">
        <f t="shared" si="85"/>
        <v>-16.2704340024479</v>
      </c>
      <c r="BC448" s="7">
        <f t="shared" si="86"/>
        <v>5.2246681047173746</v>
      </c>
      <c r="BF448" s="7">
        <f t="shared" si="87"/>
        <v>-75.048164685939042</v>
      </c>
      <c r="BG448" s="7">
        <f t="shared" si="88"/>
        <v>5.6863122045028778</v>
      </c>
      <c r="BI448" s="10">
        <f t="shared" si="89"/>
        <v>-201.28524589184434</v>
      </c>
      <c r="BJ448">
        <f t="shared" si="90"/>
        <v>66.087710492764643</v>
      </c>
    </row>
    <row r="449" spans="42:62" x14ac:dyDescent="0.25">
      <c r="AP449" s="1">
        <v>444</v>
      </c>
      <c r="AQ449" s="7">
        <f t="shared" si="79"/>
        <v>79196.474298878631</v>
      </c>
      <c r="AR449" s="7">
        <f t="shared" si="80"/>
        <v>-20835.411212437109</v>
      </c>
      <c r="AS449" s="7"/>
      <c r="AT449" s="7">
        <f t="shared" si="81"/>
        <v>3813.0630643330101</v>
      </c>
      <c r="AU449" s="7">
        <f t="shared" si="82"/>
        <v>811.91333958259156</v>
      </c>
      <c r="AV449" s="7"/>
      <c r="AX449" s="7">
        <f t="shared" si="83"/>
        <v>-105.94060061455811</v>
      </c>
      <c r="AY449" s="7">
        <f t="shared" si="84"/>
        <v>50.71029175402996</v>
      </c>
      <c r="BB449" s="7">
        <f t="shared" si="85"/>
        <v>-15.785534530048606</v>
      </c>
      <c r="BC449" s="7">
        <f t="shared" si="86"/>
        <v>4.9069631948368198</v>
      </c>
      <c r="BF449" s="7">
        <f t="shared" si="87"/>
        <v>-71.813689496322255</v>
      </c>
      <c r="BG449" s="7">
        <f t="shared" si="88"/>
        <v>4.977196638967782</v>
      </c>
      <c r="BI449" s="10">
        <f t="shared" si="89"/>
        <v>-193.53982464092897</v>
      </c>
      <c r="BJ449">
        <f t="shared" si="90"/>
        <v>60.594451587834563</v>
      </c>
    </row>
    <row r="450" spans="42:62" x14ac:dyDescent="0.25">
      <c r="AP450" s="1">
        <v>445</v>
      </c>
      <c r="AQ450" s="7">
        <f t="shared" si="79"/>
        <v>81078.813352965022</v>
      </c>
      <c r="AR450" s="7">
        <f t="shared" si="80"/>
        <v>-20421.880236197336</v>
      </c>
      <c r="AS450" s="7"/>
      <c r="AT450" s="7">
        <f t="shared" si="81"/>
        <v>3716.2931520125458</v>
      </c>
      <c r="AU450" s="7">
        <f t="shared" si="82"/>
        <v>842.21056537650884</v>
      </c>
      <c r="AV450" s="7"/>
      <c r="AX450" s="7">
        <f t="shared" si="83"/>
        <v>-102.16499019758049</v>
      </c>
      <c r="AY450" s="7">
        <f t="shared" si="84"/>
        <v>46.704224657151734</v>
      </c>
      <c r="BB450" s="7">
        <f t="shared" si="85"/>
        <v>-15.332933144640901</v>
      </c>
      <c r="BC450" s="7">
        <f t="shared" si="86"/>
        <v>4.6147816770170182</v>
      </c>
      <c r="BF450" s="7">
        <f t="shared" si="87"/>
        <v>-68.853786840149226</v>
      </c>
      <c r="BG450" s="7">
        <f t="shared" si="88"/>
        <v>4.336920683666583</v>
      </c>
      <c r="BI450" s="10">
        <f t="shared" si="89"/>
        <v>-186.35171018237062</v>
      </c>
      <c r="BJ450">
        <f t="shared" si="90"/>
        <v>55.655927017835339</v>
      </c>
    </row>
    <row r="451" spans="42:62" x14ac:dyDescent="0.25">
      <c r="AP451" s="1">
        <v>446</v>
      </c>
      <c r="AQ451" s="7">
        <f t="shared" si="79"/>
        <v>82913.665965198496</v>
      </c>
      <c r="AR451" s="7">
        <f t="shared" si="80"/>
        <v>-19993.817962631852</v>
      </c>
      <c r="AS451" s="7"/>
      <c r="AT451" s="7">
        <f t="shared" si="81"/>
        <v>3623.1172969213603</v>
      </c>
      <c r="AU451" s="7">
        <f t="shared" si="82"/>
        <v>870.03852888542656</v>
      </c>
      <c r="AV451" s="7"/>
      <c r="AX451" s="7">
        <f t="shared" si="83"/>
        <v>-98.623214806517467</v>
      </c>
      <c r="AY451" s="7">
        <f t="shared" si="84"/>
        <v>43.099200677319409</v>
      </c>
      <c r="BB451" s="7">
        <f t="shared" si="85"/>
        <v>-14.909581260042463</v>
      </c>
      <c r="BC451" s="7">
        <f t="shared" si="86"/>
        <v>4.3453438570928506</v>
      </c>
      <c r="BF451" s="7">
        <f t="shared" si="87"/>
        <v>-66.13621408785464</v>
      </c>
      <c r="BG451" s="7">
        <f t="shared" si="88"/>
        <v>3.7567789975125803</v>
      </c>
      <c r="BI451" s="10">
        <f t="shared" si="89"/>
        <v>-179.66901015441456</v>
      </c>
      <c r="BJ451">
        <f t="shared" si="90"/>
        <v>51.201323531924842</v>
      </c>
    </row>
    <row r="452" spans="42:62" x14ac:dyDescent="0.25">
      <c r="AP452" s="1">
        <v>447</v>
      </c>
      <c r="AQ452" s="7">
        <f t="shared" si="79"/>
        <v>84702.765987389866</v>
      </c>
      <c r="AR452" s="7">
        <f t="shared" si="80"/>
        <v>-19552.398532747651</v>
      </c>
      <c r="AS452" s="7"/>
      <c r="AT452" s="7">
        <f t="shared" si="81"/>
        <v>3533.2827918441531</v>
      </c>
      <c r="AU452" s="7">
        <f t="shared" si="82"/>
        <v>895.63919065138896</v>
      </c>
      <c r="AV452" s="7"/>
      <c r="AX452" s="7">
        <f t="shared" si="83"/>
        <v>-95.299168141006817</v>
      </c>
      <c r="AY452" s="7">
        <f t="shared" si="84"/>
        <v>39.844835642610605</v>
      </c>
      <c r="BB452" s="7">
        <f t="shared" si="85"/>
        <v>-14.512805672151289</v>
      </c>
      <c r="BC452" s="7">
        <f t="shared" si="86"/>
        <v>4.0962453380017649</v>
      </c>
      <c r="BF452" s="7">
        <f t="shared" si="87"/>
        <v>-63.633506045013469</v>
      </c>
      <c r="BG452" s="7">
        <f t="shared" si="88"/>
        <v>3.2293884850064836</v>
      </c>
      <c r="BI452" s="10">
        <f t="shared" si="89"/>
        <v>-173.44547985817158</v>
      </c>
      <c r="BJ452">
        <f t="shared" si="90"/>
        <v>47.170469465618851</v>
      </c>
    </row>
    <row r="453" spans="42:62" x14ac:dyDescent="0.25">
      <c r="AP453" s="1">
        <v>448</v>
      </c>
      <c r="AQ453" s="7">
        <f t="shared" si="79"/>
        <v>86447.726698329672</v>
      </c>
      <c r="AR453" s="7">
        <f t="shared" si="80"/>
        <v>-19098.682628738756</v>
      </c>
      <c r="AS453" s="7"/>
      <c r="AT453" s="7">
        <f t="shared" si="81"/>
        <v>3446.5600519150671</v>
      </c>
      <c r="AU453" s="7">
        <f t="shared" si="82"/>
        <v>919.22442538419841</v>
      </c>
      <c r="AV453" s="7"/>
      <c r="AX453" s="7">
        <f t="shared" si="83"/>
        <v>-92.177487525038686</v>
      </c>
      <c r="AY453" s="7">
        <f t="shared" si="84"/>
        <v>36.898173316359099</v>
      </c>
      <c r="BB453" s="7">
        <f t="shared" si="85"/>
        <v>-14.140252297589521</v>
      </c>
      <c r="BC453" s="7">
        <f t="shared" si="86"/>
        <v>3.8653969103908348</v>
      </c>
      <c r="BF453" s="7">
        <f t="shared" si="87"/>
        <v>-61.322132787548753</v>
      </c>
      <c r="BG453" s="7">
        <f t="shared" si="88"/>
        <v>2.7484549861219039</v>
      </c>
      <c r="BI453" s="10">
        <f t="shared" si="89"/>
        <v>-167.63987261017695</v>
      </c>
      <c r="BJ453">
        <f t="shared" si="90"/>
        <v>43.512025212871833</v>
      </c>
    </row>
    <row r="454" spans="42:62" x14ac:dyDescent="0.25">
      <c r="AP454" s="1">
        <v>449</v>
      </c>
      <c r="AQ454" s="7">
        <f t="shared" ref="AQ454:AQ517" si="91">AQ453+(AT453*$R$7)+((1/2)*(BI453)*$R$7^2)</f>
        <v>88150.051740210925</v>
      </c>
      <c r="AR454" s="7">
        <f t="shared" ref="AR454:AR517" si="92">AR453+(AU453*$R$7)+((1/2)*(BJ453)*$R$7^2)</f>
        <v>-18633.631412895047</v>
      </c>
      <c r="AS454" s="7"/>
      <c r="AT454" s="7">
        <f t="shared" ref="AT454:AT517" si="93">AT453+(BI453)*$R$7</f>
        <v>3362.7401156099786</v>
      </c>
      <c r="AU454" s="7">
        <f t="shared" ref="AU454:AU517" si="94">AU453+(BJ453)*$R$7</f>
        <v>940.9804379906343</v>
      </c>
      <c r="AV454" s="7"/>
      <c r="AX454" s="7">
        <f t="shared" ref="AX454:AX517" si="95">(($R$23-AQ454)/(($R$23-AQ454)^2+($S$23-AR454)^2+$R$28^2)^(3/2))*$R$27</f>
        <v>-89.243689737234916</v>
      </c>
      <c r="AY454" s="7">
        <f t="shared" ref="AY454:AY517" si="96">(($S$23-AR454)/(($R$23-AQ454)^2+($S$23-AR454)^2+$R$28^2)^(3/2))*$R$27</f>
        <v>34.222449344723614</v>
      </c>
      <c r="BB454" s="7">
        <f t="shared" ref="BB454:BB517" si="97">(($R$32-AQ454)/(($R$32-AQ454)^2+($S$32-AR454)^2+$R$37^2)^(3/2))*$R$36</f>
        <v>-13.789839765467832</v>
      </c>
      <c r="BC454" s="7">
        <f t="shared" ref="BC454:BC517" si="98">(($S$32-AR454)/(($R$32-AQ454)^2+($S$32-AR454)^2+$R$37^2)^(3/2))*$R$36</f>
        <v>3.6509754987059324</v>
      </c>
      <c r="BF454" s="7">
        <f t="shared" ref="BF454:BF517" si="99">(($R$41-AQ454)/(($R$41-AQ454)^2+($S$41-AR454)^2+$R$46^2)^(3/2))*$R$45</f>
        <v>-59.181827841682328</v>
      </c>
      <c r="BG454" s="7">
        <f t="shared" ref="BG454:BG517" si="100">(($S$41-AR454)/(($R$41-AQ454)^2+($S$41-AR454)^2+$R$46^2)^(3/2))*$R$45</f>
        <v>2.3085864656074389</v>
      </c>
      <c r="BI454" s="10">
        <f t="shared" ref="BI454:BI517" si="101">BF454+BB454+AX454</f>
        <v>-162.21535734438507</v>
      </c>
      <c r="BJ454">
        <f t="shared" ref="BJ454:BJ517" si="102">BG454+BC454+AY454</f>
        <v>40.182011309036987</v>
      </c>
    </row>
    <row r="455" spans="42:62" x14ac:dyDescent="0.25">
      <c r="AP455" s="1">
        <v>450</v>
      </c>
      <c r="AQ455" s="7">
        <f t="shared" si="91"/>
        <v>89811.14487834787</v>
      </c>
      <c r="AR455" s="7">
        <f t="shared" si="92"/>
        <v>-18158.118442486099</v>
      </c>
      <c r="AS455" s="7"/>
      <c r="AT455" s="7">
        <f t="shared" si="93"/>
        <v>3281.6324369377862</v>
      </c>
      <c r="AU455" s="7">
        <f t="shared" si="94"/>
        <v>961.07144364515284</v>
      </c>
      <c r="AV455" s="7"/>
      <c r="AX455" s="7">
        <f t="shared" si="95"/>
        <v>-86.48423195815424</v>
      </c>
      <c r="AY455" s="7">
        <f t="shared" si="96"/>
        <v>31.786080443983657</v>
      </c>
      <c r="BB455" s="7">
        <f t="shared" si="97"/>
        <v>-13.459720903960143</v>
      </c>
      <c r="BC455" s="7">
        <f t="shared" si="98"/>
        <v>3.451383881266187</v>
      </c>
      <c r="BF455" s="7">
        <f t="shared" si="99"/>
        <v>-57.195048148642634</v>
      </c>
      <c r="BG455" s="7">
        <f t="shared" si="100"/>
        <v>1.9051424451088876</v>
      </c>
      <c r="BI455" s="10">
        <f t="shared" si="101"/>
        <v>-157.139001010757</v>
      </c>
      <c r="BJ455">
        <f t="shared" si="102"/>
        <v>37.142606770358732</v>
      </c>
    </row>
    <row r="456" spans="42:62" x14ac:dyDescent="0.25">
      <c r="AP456" s="1">
        <v>451</v>
      </c>
      <c r="AQ456" s="7">
        <f t="shared" si="91"/>
        <v>91432.318721690419</v>
      </c>
      <c r="AR456" s="7">
        <f t="shared" si="92"/>
        <v>-17672.939894817227</v>
      </c>
      <c r="AS456" s="7"/>
      <c r="AT456" s="7">
        <f t="shared" si="93"/>
        <v>3203.0629364324077</v>
      </c>
      <c r="AU456" s="7">
        <f t="shared" si="94"/>
        <v>979.6427470303322</v>
      </c>
      <c r="AV456" s="7"/>
      <c r="AX456" s="7">
        <f t="shared" si="95"/>
        <v>-83.886523812851678</v>
      </c>
      <c r="AY456" s="7">
        <f t="shared" si="96"/>
        <v>29.561835030911027</v>
      </c>
      <c r="BB456" s="7">
        <f t="shared" si="97"/>
        <v>-13.148250595781242</v>
      </c>
      <c r="BC456" s="7">
        <f t="shared" si="98"/>
        <v>3.2652174219562853</v>
      </c>
      <c r="BF456" s="7">
        <f t="shared" si="99"/>
        <v>-55.346536847170846</v>
      </c>
      <c r="BG456" s="7">
        <f t="shared" si="100"/>
        <v>1.5341118863452063</v>
      </c>
      <c r="BI456" s="10">
        <f t="shared" si="101"/>
        <v>-152.38131125580378</v>
      </c>
      <c r="BJ456">
        <f t="shared" si="102"/>
        <v>34.361164339212522</v>
      </c>
    </row>
    <row r="457" spans="42:62" x14ac:dyDescent="0.25">
      <c r="AP457" s="1">
        <v>452</v>
      </c>
      <c r="AQ457" s="7">
        <f t="shared" si="91"/>
        <v>93014.802525999636</v>
      </c>
      <c r="AR457" s="7">
        <f t="shared" si="92"/>
        <v>-17178.823375759661</v>
      </c>
      <c r="AS457" s="7"/>
      <c r="AT457" s="7">
        <f t="shared" si="93"/>
        <v>3126.8722808045059</v>
      </c>
      <c r="AU457" s="7">
        <f t="shared" si="94"/>
        <v>996.82332919993848</v>
      </c>
      <c r="AV457" s="7"/>
      <c r="AX457" s="7">
        <f t="shared" si="95"/>
        <v>-81.438908221208024</v>
      </c>
      <c r="AY457" s="7">
        <f t="shared" si="96"/>
        <v>27.526150347256287</v>
      </c>
      <c r="BB457" s="7">
        <f t="shared" si="97"/>
        <v>-12.853958804697523</v>
      </c>
      <c r="BC457" s="7">
        <f t="shared" si="98"/>
        <v>3.0912364418085296</v>
      </c>
      <c r="BF457" s="7">
        <f t="shared" si="99"/>
        <v>-53.622966912588723</v>
      </c>
      <c r="BG457" s="7">
        <f t="shared" si="100"/>
        <v>1.1920135609694591</v>
      </c>
      <c r="BI457" s="10">
        <f t="shared" si="101"/>
        <v>-147.91583393849427</v>
      </c>
      <c r="BJ457">
        <f t="shared" si="102"/>
        <v>31.809400350034274</v>
      </c>
    </row>
    <row r="458" spans="42:62" x14ac:dyDescent="0.25">
      <c r="AP458" s="1">
        <v>453</v>
      </c>
      <c r="AQ458" s="7">
        <f t="shared" si="91"/>
        <v>94559.74918715957</v>
      </c>
      <c r="AR458" s="7">
        <f t="shared" si="92"/>
        <v>-16676.43553611594</v>
      </c>
      <c r="AS458" s="7"/>
      <c r="AT458" s="7">
        <f t="shared" si="93"/>
        <v>3052.9143638352589</v>
      </c>
      <c r="AU458" s="7">
        <f t="shared" si="94"/>
        <v>1012.7280293749557</v>
      </c>
      <c r="AV458" s="7"/>
      <c r="AX458" s="7">
        <f t="shared" si="95"/>
        <v>-79.130623099775036</v>
      </c>
      <c r="AY458" s="7">
        <f t="shared" si="96"/>
        <v>25.658568184049969</v>
      </c>
      <c r="BB458" s="7">
        <f t="shared" si="97"/>
        <v>-12.575527826058696</v>
      </c>
      <c r="BC458" s="7">
        <f t="shared" si="98"/>
        <v>2.9283431551200376</v>
      </c>
      <c r="BF458" s="7">
        <f t="shared" si="99"/>
        <v>-52.012648858160965</v>
      </c>
      <c r="BG458" s="7">
        <f t="shared" si="100"/>
        <v>0.87581430834487295</v>
      </c>
      <c r="BI458" s="10">
        <f t="shared" si="101"/>
        <v>-143.71879978399471</v>
      </c>
      <c r="BJ458">
        <f t="shared" si="102"/>
        <v>29.46272564751488</v>
      </c>
    </row>
    <row r="459" spans="42:62" x14ac:dyDescent="0.25">
      <c r="AP459" s="1">
        <v>454</v>
      </c>
      <c r="AQ459" s="7">
        <f t="shared" si="91"/>
        <v>96068.241519104209</v>
      </c>
      <c r="AR459" s="7">
        <f t="shared" si="92"/>
        <v>-16166.388680722521</v>
      </c>
      <c r="AS459" s="7"/>
      <c r="AT459" s="7">
        <f t="shared" si="93"/>
        <v>2981.0549639432616</v>
      </c>
      <c r="AU459" s="7">
        <f t="shared" si="94"/>
        <v>1027.4593921987132</v>
      </c>
      <c r="AV459" s="7"/>
      <c r="AX459" s="7">
        <f t="shared" si="95"/>
        <v>-76.95175206231869</v>
      </c>
      <c r="AY459" s="7">
        <f t="shared" si="96"/>
        <v>23.941266915077115</v>
      </c>
      <c r="BB459" s="7">
        <f t="shared" si="97"/>
        <v>-12.311773007643909</v>
      </c>
      <c r="BC459" s="7">
        <f t="shared" si="98"/>
        <v>2.775562321359144</v>
      </c>
      <c r="BF459" s="7">
        <f t="shared" si="99"/>
        <v>-50.505289550799851</v>
      </c>
      <c r="BG459" s="7">
        <f t="shared" si="100"/>
        <v>0.58286161076158871</v>
      </c>
      <c r="BI459" s="10">
        <f t="shared" si="101"/>
        <v>-139.76881462076244</v>
      </c>
      <c r="BJ459">
        <f t="shared" si="102"/>
        <v>27.299690847197848</v>
      </c>
    </row>
    <row r="460" spans="42:62" x14ac:dyDescent="0.25">
      <c r="AP460" s="1">
        <v>455</v>
      </c>
      <c r="AQ460" s="7">
        <f t="shared" si="91"/>
        <v>97541.297899248239</v>
      </c>
      <c r="AR460" s="7">
        <f t="shared" si="92"/>
        <v>-15649.246523267264</v>
      </c>
      <c r="AS460" s="7"/>
      <c r="AT460" s="7">
        <f t="shared" si="93"/>
        <v>2911.1705566328801</v>
      </c>
      <c r="AU460" s="7">
        <f t="shared" si="94"/>
        <v>1041.1092376223121</v>
      </c>
      <c r="AV460" s="7"/>
      <c r="AX460" s="7">
        <f t="shared" si="95"/>
        <v>-74.893169584133872</v>
      </c>
      <c r="AY460" s="7">
        <f t="shared" si="96"/>
        <v>22.358671992628395</v>
      </c>
      <c r="BB460" s="7">
        <f t="shared" si="97"/>
        <v>-12.061626337148107</v>
      </c>
      <c r="BC460" s="7">
        <f t="shared" si="98"/>
        <v>2.6320249386579526</v>
      </c>
      <c r="BF460" s="7">
        <f t="shared" si="99"/>
        <v>-49.091792081591414</v>
      </c>
      <c r="BG460" s="7">
        <f t="shared" si="100"/>
        <v>0.3108276956007428</v>
      </c>
      <c r="BI460" s="10">
        <f t="shared" si="101"/>
        <v>-136.04658800287339</v>
      </c>
      <c r="BJ460">
        <f t="shared" si="102"/>
        <v>25.30152462688709</v>
      </c>
    </row>
    <row r="461" spans="42:62" x14ac:dyDescent="0.25">
      <c r="AP461" s="1">
        <v>456</v>
      </c>
      <c r="AQ461" s="7">
        <f t="shared" si="91"/>
        <v>98979.877354064331</v>
      </c>
      <c r="AR461" s="7">
        <f t="shared" si="92"/>
        <v>-15125.529213877746</v>
      </c>
      <c r="AS461" s="7"/>
      <c r="AT461" s="7">
        <f t="shared" si="93"/>
        <v>2843.1472626314435</v>
      </c>
      <c r="AU461" s="7">
        <f t="shared" si="94"/>
        <v>1053.7599999357556</v>
      </c>
      <c r="AV461" s="7"/>
      <c r="AX461" s="7">
        <f t="shared" si="95"/>
        <v>-72.946484248342159</v>
      </c>
      <c r="AY461" s="7">
        <f t="shared" si="96"/>
        <v>20.897130581902651</v>
      </c>
      <c r="BB461" s="7">
        <f t="shared" si="97"/>
        <v>-11.824122409884724</v>
      </c>
      <c r="BC461" s="7">
        <f t="shared" si="98"/>
        <v>2.4969544400684049</v>
      </c>
      <c r="BF461" s="7">
        <f t="shared" si="99"/>
        <v>-47.764088818773715</v>
      </c>
      <c r="BG461" s="7">
        <f t="shared" si="100"/>
        <v>5.7662969735875855E-2</v>
      </c>
      <c r="BI461" s="10">
        <f t="shared" si="101"/>
        <v>-132.53469547700058</v>
      </c>
      <c r="BJ461">
        <f t="shared" si="102"/>
        <v>23.451747991706931</v>
      </c>
    </row>
    <row r="462" spans="42:62" x14ac:dyDescent="0.25">
      <c r="AP462" s="1">
        <v>457</v>
      </c>
      <c r="AQ462" s="7">
        <f t="shared" si="91"/>
        <v>100384.88414844543</v>
      </c>
      <c r="AR462" s="7">
        <f t="shared" si="92"/>
        <v>-14595.717745410904</v>
      </c>
      <c r="AS462" s="7"/>
      <c r="AT462" s="7">
        <f t="shared" si="93"/>
        <v>2776.8799148929434</v>
      </c>
      <c r="AU462" s="7">
        <f t="shared" si="94"/>
        <v>1065.4858739316089</v>
      </c>
      <c r="AV462" s="7"/>
      <c r="AX462" s="7">
        <f t="shared" si="95"/>
        <v>-71.103982421777687</v>
      </c>
      <c r="AY462" s="7">
        <f t="shared" si="96"/>
        <v>19.544638806282855</v>
      </c>
      <c r="BB462" s="7">
        <f t="shared" si="97"/>
        <v>-11.598386382511338</v>
      </c>
      <c r="BC462" s="7">
        <f t="shared" si="98"/>
        <v>2.3696549594607066</v>
      </c>
      <c r="BF462" s="7">
        <f t="shared" si="99"/>
        <v>-46.515001439928525</v>
      </c>
      <c r="BG462" s="7">
        <f t="shared" si="100"/>
        <v>-0.17844295039372346</v>
      </c>
      <c r="BI462" s="10">
        <f t="shared" si="101"/>
        <v>-129.21737024421753</v>
      </c>
      <c r="BJ462">
        <f t="shared" si="102"/>
        <v>21.735850815349838</v>
      </c>
    </row>
    <row r="463" spans="42:62" x14ac:dyDescent="0.25">
      <c r="AP463" s="1">
        <v>458</v>
      </c>
      <c r="AQ463" s="7">
        <f t="shared" si="91"/>
        <v>101757.17193461138</v>
      </c>
      <c r="AR463" s="7">
        <f t="shared" si="92"/>
        <v>-14060.257827093181</v>
      </c>
      <c r="AS463" s="7"/>
      <c r="AT463" s="7">
        <f t="shared" si="93"/>
        <v>2712.2712297708345</v>
      </c>
      <c r="AU463" s="7">
        <f t="shared" si="94"/>
        <v>1076.3537993392838</v>
      </c>
      <c r="AV463" s="7"/>
      <c r="AX463" s="7">
        <f t="shared" si="95"/>
        <v>-69.358573836248709</v>
      </c>
      <c r="AY463" s="7">
        <f t="shared" si="96"/>
        <v>18.290612297903348</v>
      </c>
      <c r="BB463" s="7">
        <f t="shared" si="97"/>
        <v>-11.383623591590721</v>
      </c>
      <c r="BC463" s="7">
        <f t="shared" si="98"/>
        <v>2.2495013169930149</v>
      </c>
      <c r="BF463" s="7">
        <f t="shared" si="99"/>
        <v>-45.338123023473635</v>
      </c>
      <c r="BG463" s="7">
        <f t="shared" si="100"/>
        <v>-0.39909399503100368</v>
      </c>
      <c r="BI463" s="10">
        <f t="shared" si="101"/>
        <v>-126.08032045131307</v>
      </c>
      <c r="BJ463">
        <f t="shared" si="102"/>
        <v>20.141019619865357</v>
      </c>
    </row>
    <row r="464" spans="42:62" x14ac:dyDescent="0.25">
      <c r="AP464" s="1">
        <v>459</v>
      </c>
      <c r="AQ464" s="7">
        <f t="shared" si="91"/>
        <v>103097.54750944038</v>
      </c>
      <c r="AR464" s="7">
        <f t="shared" si="92"/>
        <v>-13519.563299971056</v>
      </c>
      <c r="AS464" s="7"/>
      <c r="AT464" s="7">
        <f t="shared" si="93"/>
        <v>2649.2310695451779</v>
      </c>
      <c r="AU464" s="7">
        <f t="shared" si="94"/>
        <v>1086.4243091492165</v>
      </c>
      <c r="AV464" s="7"/>
      <c r="AX464" s="7">
        <f t="shared" si="95"/>
        <v>-67.703739955560224</v>
      </c>
      <c r="AY464" s="7">
        <f t="shared" si="96"/>
        <v>17.12569251792906</v>
      </c>
      <c r="BB464" s="7">
        <f t="shared" si="97"/>
        <v>-11.179110573924483</v>
      </c>
      <c r="BC464" s="7">
        <f t="shared" si="98"/>
        <v>2.1359304397240622</v>
      </c>
      <c r="BF464" s="7">
        <f t="shared" si="99"/>
        <v>-44.227718273196103</v>
      </c>
      <c r="BG464" s="7">
        <f t="shared" si="100"/>
        <v>-0.60571528955790688</v>
      </c>
      <c r="BI464" s="10">
        <f t="shared" si="101"/>
        <v>-123.1105688026808</v>
      </c>
      <c r="BJ464">
        <f t="shared" si="102"/>
        <v>18.655907668095217</v>
      </c>
    </row>
    <row r="465" spans="42:62" x14ac:dyDescent="0.25">
      <c r="AP465" s="1">
        <v>460</v>
      </c>
      <c r="AQ465" s="7">
        <f t="shared" si="91"/>
        <v>104406.77422311263</v>
      </c>
      <c r="AR465" s="7">
        <f t="shared" si="92"/>
        <v>-12974.019156937935</v>
      </c>
      <c r="AS465" s="7"/>
      <c r="AT465" s="7">
        <f t="shared" si="93"/>
        <v>2587.6757851438374</v>
      </c>
      <c r="AU465" s="7">
        <f t="shared" si="94"/>
        <v>1095.752262983264</v>
      </c>
      <c r="AV465" s="7"/>
      <c r="AX465" s="7">
        <f t="shared" si="95"/>
        <v>-66.133485605083521</v>
      </c>
      <c r="AY465" s="7">
        <f t="shared" si="96"/>
        <v>16.041582724325888</v>
      </c>
      <c r="BB465" s="7">
        <f t="shared" si="97"/>
        <v>-10.984187272141366</v>
      </c>
      <c r="BC465" s="7">
        <f t="shared" si="98"/>
        <v>2.0284339851220667</v>
      </c>
      <c r="BF465" s="7">
        <f t="shared" si="99"/>
        <v>-43.178638724110201</v>
      </c>
      <c r="BG465" s="7">
        <f t="shared" si="100"/>
        <v>-0.79957658477480997</v>
      </c>
      <c r="BI465" s="10">
        <f t="shared" si="101"/>
        <v>-120.29631160133509</v>
      </c>
      <c r="BJ465">
        <f t="shared" si="102"/>
        <v>17.270440124673144</v>
      </c>
    </row>
    <row r="466" spans="42:62" x14ac:dyDescent="0.25">
      <c r="AP466" s="1">
        <v>461</v>
      </c>
      <c r="AQ466" s="7">
        <f t="shared" si="91"/>
        <v>105685.57507673439</v>
      </c>
      <c r="AR466" s="7">
        <f t="shared" si="92"/>
        <v>-12423.984220430719</v>
      </c>
      <c r="AS466" s="7"/>
      <c r="AT466" s="7">
        <f t="shared" si="93"/>
        <v>2527.5276293431698</v>
      </c>
      <c r="AU466" s="7">
        <f t="shared" si="94"/>
        <v>1104.3874830456007</v>
      </c>
      <c r="AV466" s="7"/>
      <c r="AX466" s="7">
        <f t="shared" si="95"/>
        <v>-64.642294070333108</v>
      </c>
      <c r="AY466" s="7">
        <f t="shared" si="96"/>
        <v>15.030908596649688</v>
      </c>
      <c r="BB466" s="7">
        <f t="shared" si="97"/>
        <v>-10.798250246492442</v>
      </c>
      <c r="BC466" s="7">
        <f t="shared" si="98"/>
        <v>1.9265519769295392</v>
      </c>
      <c r="BF466" s="7">
        <f t="shared" si="99"/>
        <v>-42.186250385506781</v>
      </c>
      <c r="BG466" s="7">
        <f t="shared" si="100"/>
        <v>-0.98181218825115524</v>
      </c>
      <c r="BI466" s="10">
        <f t="shared" si="101"/>
        <v>-117.62679470233233</v>
      </c>
      <c r="BJ466">
        <f t="shared" si="102"/>
        <v>15.975648385328071</v>
      </c>
    </row>
    <row r="467" spans="42:62" x14ac:dyDescent="0.25">
      <c r="AP467" s="1">
        <v>462</v>
      </c>
      <c r="AQ467" s="7">
        <f t="shared" si="91"/>
        <v>106934.63554206818</v>
      </c>
      <c r="AR467" s="7">
        <f t="shared" si="92"/>
        <v>-11869.793522859753</v>
      </c>
      <c r="AS467" s="7"/>
      <c r="AT467" s="7">
        <f t="shared" si="93"/>
        <v>2468.7142319920035</v>
      </c>
      <c r="AU467" s="7">
        <f t="shared" si="94"/>
        <v>1112.3753072382647</v>
      </c>
      <c r="AV467" s="7"/>
      <c r="AX467" s="7">
        <f t="shared" si="95"/>
        <v>-63.225085692987491</v>
      </c>
      <c r="AY467" s="7">
        <f t="shared" si="96"/>
        <v>14.087099436284671</v>
      </c>
      <c r="BB467" s="7">
        <f t="shared" si="97"/>
        <v>-10.620746744128548</v>
      </c>
      <c r="BC467" s="7">
        <f t="shared" si="98"/>
        <v>1.829867296351098</v>
      </c>
      <c r="BF467" s="7">
        <f t="shared" si="99"/>
        <v>-41.246371756594534</v>
      </c>
      <c r="BG467" s="7">
        <f t="shared" si="100"/>
        <v>-1.1534379810662247</v>
      </c>
      <c r="BI467" s="10">
        <f t="shared" si="101"/>
        <v>-115.09220419371057</v>
      </c>
      <c r="BJ467">
        <f t="shared" si="102"/>
        <v>14.763528751569543</v>
      </c>
    </row>
    <row r="468" spans="42:62" x14ac:dyDescent="0.25">
      <c r="AP468" s="1">
        <v>463</v>
      </c>
      <c r="AQ468" s="7">
        <f t="shared" si="91"/>
        <v>108154.60613253996</v>
      </c>
      <c r="AR468" s="7">
        <f t="shared" si="92"/>
        <v>-11311.760428146674</v>
      </c>
      <c r="AS468" s="7"/>
      <c r="AT468" s="7">
        <f t="shared" si="93"/>
        <v>2411.1681298951485</v>
      </c>
      <c r="AU468" s="7">
        <f t="shared" si="94"/>
        <v>1119.7570716140494</v>
      </c>
      <c r="AV468" s="7"/>
      <c r="AX468" s="7">
        <f t="shared" si="95"/>
        <v>-61.877179878706976</v>
      </c>
      <c r="AY468" s="7">
        <f t="shared" si="96"/>
        <v>13.204286592778576</v>
      </c>
      <c r="BB468" s="7">
        <f t="shared" si="97"/>
        <v>-10.451169501790091</v>
      </c>
      <c r="BC468" s="7">
        <f t="shared" si="98"/>
        <v>1.7380008985845494</v>
      </c>
      <c r="BF468" s="7">
        <f t="shared" si="99"/>
        <v>-40.355220530764285</v>
      </c>
      <c r="BG468" s="7">
        <f t="shared" si="100"/>
        <v>-1.3153659968388214</v>
      </c>
      <c r="BI468" s="10">
        <f t="shared" si="101"/>
        <v>-112.68356991126134</v>
      </c>
      <c r="BJ468">
        <f t="shared" si="102"/>
        <v>13.626921494524304</v>
      </c>
    </row>
    <row r="469" spans="42:62" x14ac:dyDescent="0.25">
      <c r="AP469" s="1">
        <v>464</v>
      </c>
      <c r="AQ469" s="7">
        <f t="shared" si="91"/>
        <v>109346.10475124863</v>
      </c>
      <c r="AR469" s="7">
        <f t="shared" si="92"/>
        <v>-10750.178527152833</v>
      </c>
      <c r="AS469" s="7"/>
      <c r="AT469" s="7">
        <f t="shared" si="93"/>
        <v>2354.8263449395176</v>
      </c>
      <c r="AU469" s="7">
        <f t="shared" si="94"/>
        <v>1126.5705323613115</v>
      </c>
      <c r="AV469" s="7"/>
      <c r="AX469" s="7">
        <f t="shared" si="95"/>
        <v>-60.594260361031949</v>
      </c>
      <c r="AY469" s="7">
        <f t="shared" si="96"/>
        <v>12.377216358658981</v>
      </c>
      <c r="BB469" s="7">
        <f t="shared" si="97"/>
        <v>-10.289052177985571</v>
      </c>
      <c r="BC469" s="7">
        <f t="shared" si="98"/>
        <v>1.6506076466622805</v>
      </c>
      <c r="BF469" s="7">
        <f t="shared" si="99"/>
        <v>-39.509367608343986</v>
      </c>
      <c r="BG469" s="7">
        <f t="shared" si="100"/>
        <v>-1.4684169539996426</v>
      </c>
      <c r="BI469" s="10">
        <f t="shared" si="101"/>
        <v>-110.39268014736152</v>
      </c>
      <c r="BJ469">
        <f t="shared" si="102"/>
        <v>12.559407051321619</v>
      </c>
    </row>
    <row r="470" spans="42:62" x14ac:dyDescent="0.25">
      <c r="AP470" s="1">
        <v>465</v>
      </c>
      <c r="AQ470" s="7">
        <f t="shared" si="91"/>
        <v>110509.71883869998</v>
      </c>
      <c r="AR470" s="7">
        <f t="shared" si="92"/>
        <v>-10185.323335090763</v>
      </c>
      <c r="AS470" s="7"/>
      <c r="AT470" s="7">
        <f t="shared" si="93"/>
        <v>2299.6300048658368</v>
      </c>
      <c r="AU470" s="7">
        <f t="shared" si="94"/>
        <v>1132.8502358869723</v>
      </c>
      <c r="AV470" s="7"/>
      <c r="AX470" s="7">
        <f t="shared" si="95"/>
        <v>-59.372343525663091</v>
      </c>
      <c r="AY470" s="7">
        <f t="shared" si="96"/>
        <v>11.601175054854652</v>
      </c>
      <c r="BB470" s="7">
        <f t="shared" si="97"/>
        <v>-10.133965327269413</v>
      </c>
      <c r="BC470" s="7">
        <f t="shared" si="98"/>
        <v>1.5673726724547556</v>
      </c>
      <c r="BF470" s="7">
        <f t="shared" si="99"/>
        <v>-38.705697281460978</v>
      </c>
      <c r="BG470" s="7">
        <f t="shared" si="100"/>
        <v>-1.6133310631663937</v>
      </c>
      <c r="BI470" s="10">
        <f t="shared" si="101"/>
        <v>-108.21200613439348</v>
      </c>
      <c r="BJ470">
        <f t="shared" si="102"/>
        <v>11.555216664143014</v>
      </c>
    </row>
    <row r="471" spans="42:62" x14ac:dyDescent="0.25">
      <c r="AP471" s="1">
        <v>466</v>
      </c>
      <c r="AQ471" s="7">
        <f t="shared" si="91"/>
        <v>111646.00734036609</v>
      </c>
      <c r="AR471" s="7">
        <f t="shared" si="92"/>
        <v>-9617.4538150642584</v>
      </c>
      <c r="AS471" s="7"/>
      <c r="AT471" s="7">
        <f t="shared" si="93"/>
        <v>2245.5240017986403</v>
      </c>
      <c r="AU471" s="7">
        <f t="shared" si="94"/>
        <v>1138.6278442190437</v>
      </c>
      <c r="AV471" s="7"/>
      <c r="AX471" s="7">
        <f t="shared" si="95"/>
        <v>-58.207749579844126</v>
      </c>
      <c r="AY471" s="7">
        <f t="shared" si="96"/>
        <v>10.871924419046138</v>
      </c>
      <c r="BB471" s="7">
        <f t="shared" si="97"/>
        <v>-9.9855128428549378</v>
      </c>
      <c r="BC471" s="7">
        <f t="shared" si="98"/>
        <v>1.4880081893252579</v>
      </c>
      <c r="BF471" s="7">
        <f t="shared" si="99"/>
        <v>-37.941372651241871</v>
      </c>
      <c r="BG471" s="7">
        <f t="shared" si="100"/>
        <v>-1.7507773756821523</v>
      </c>
      <c r="BI471" s="10">
        <f t="shared" si="101"/>
        <v>-106.13463507394093</v>
      </c>
      <c r="BJ471">
        <f t="shared" si="102"/>
        <v>10.609155232689243</v>
      </c>
    </row>
    <row r="472" spans="42:62" x14ac:dyDescent="0.25">
      <c r="AP472" s="1">
        <v>467</v>
      </c>
      <c r="AQ472" s="7">
        <f t="shared" si="91"/>
        <v>112755.50251188118</v>
      </c>
      <c r="AR472" s="7">
        <f t="shared" si="92"/>
        <v>-9046.8137485506504</v>
      </c>
      <c r="AS472" s="7"/>
      <c r="AT472" s="7">
        <f t="shared" si="93"/>
        <v>2192.4566842616696</v>
      </c>
      <c r="AU472" s="7">
        <f t="shared" si="94"/>
        <v>1143.9324218353884</v>
      </c>
      <c r="AV472" s="7"/>
      <c r="AX472" s="7">
        <f t="shared" si="95"/>
        <v>-57.097076345573271</v>
      </c>
      <c r="AY472" s="7">
        <f t="shared" si="96"/>
        <v>10.185645727658697</v>
      </c>
      <c r="BB472" s="7">
        <f t="shared" si="97"/>
        <v>-9.8433288050796417</v>
      </c>
      <c r="BC472" s="7">
        <f t="shared" si="98"/>
        <v>1.4122506929557697</v>
      </c>
      <c r="BF472" s="7">
        <f t="shared" si="99"/>
        <v>-37.213805496854334</v>
      </c>
      <c r="BG472" s="7">
        <f t="shared" si="100"/>
        <v>-1.8813618941130215</v>
      </c>
      <c r="BI472" s="10">
        <f t="shared" si="101"/>
        <v>-104.15421064750726</v>
      </c>
      <c r="BJ472">
        <f t="shared" si="102"/>
        <v>9.7165345265014444</v>
      </c>
    </row>
    <row r="473" spans="42:62" x14ac:dyDescent="0.25">
      <c r="AP473" s="1">
        <v>468</v>
      </c>
      <c r="AQ473" s="7">
        <f t="shared" si="91"/>
        <v>113838.71157768108</v>
      </c>
      <c r="AR473" s="7">
        <f t="shared" si="92"/>
        <v>-8473.6329708171452</v>
      </c>
      <c r="AS473" s="7"/>
      <c r="AT473" s="7">
        <f t="shared" si="93"/>
        <v>2140.379578937916</v>
      </c>
      <c r="AU473" s="7">
        <f t="shared" si="94"/>
        <v>1148.7906890986392</v>
      </c>
      <c r="AV473" s="7"/>
      <c r="AX473" s="7">
        <f t="shared" si="95"/>
        <v>-56.037175458205915</v>
      </c>
      <c r="AY473" s="7">
        <f t="shared" si="96"/>
        <v>9.5388913428299986</v>
      </c>
      <c r="BB473" s="7">
        <f t="shared" si="97"/>
        <v>-9.7070746826086687</v>
      </c>
      <c r="BC473" s="7">
        <f t="shared" si="98"/>
        <v>1.339858496790312</v>
      </c>
      <c r="BF473" s="7">
        <f t="shared" si="99"/>
        <v>-36.520629945570541</v>
      </c>
      <c r="BG473" s="7">
        <f t="shared" si="100"/>
        <v>-2.0056346286282292</v>
      </c>
      <c r="BI473" s="10">
        <f t="shared" si="101"/>
        <v>-102.26488008638512</v>
      </c>
      <c r="BJ473">
        <f t="shared" si="102"/>
        <v>8.873115210992081</v>
      </c>
    </row>
    <row r="474" spans="42:62" x14ac:dyDescent="0.25">
      <c r="AP474" s="1">
        <v>469</v>
      </c>
      <c r="AQ474" s="7">
        <f t="shared" si="91"/>
        <v>114896.11825713924</v>
      </c>
      <c r="AR474" s="7">
        <f t="shared" si="92"/>
        <v>-7898.1284868664516</v>
      </c>
      <c r="AS474" s="7"/>
      <c r="AT474" s="7">
        <f t="shared" si="93"/>
        <v>2089.2471388947233</v>
      </c>
      <c r="AU474" s="7">
        <f t="shared" si="94"/>
        <v>1153.2272467041353</v>
      </c>
      <c r="AV474" s="7"/>
      <c r="AX474" s="7">
        <f t="shared" si="95"/>
        <v>-55.025130760454722</v>
      </c>
      <c r="AY474" s="7">
        <f t="shared" si="96"/>
        <v>8.9285425897003563</v>
      </c>
      <c r="BB474" s="7">
        <f t="shared" si="97"/>
        <v>-9.5764368410823231</v>
      </c>
      <c r="BC474" s="7">
        <f t="shared" si="98"/>
        <v>1.270609556765224</v>
      </c>
      <c r="BF474" s="7">
        <f t="shared" si="99"/>
        <v>-35.859679399066145</v>
      </c>
      <c r="BG474" s="7">
        <f t="shared" si="100"/>
        <v>-2.1240957530263107</v>
      </c>
      <c r="BI474" s="10">
        <f t="shared" si="101"/>
        <v>-100.46124700060318</v>
      </c>
      <c r="BJ474">
        <f t="shared" si="102"/>
        <v>8.0750563934392687</v>
      </c>
    </row>
    <row r="475" spans="42:62" x14ac:dyDescent="0.25">
      <c r="AP475" s="1">
        <v>470</v>
      </c>
      <c r="AQ475" s="7">
        <f t="shared" si="91"/>
        <v>115928.18417071152</v>
      </c>
      <c r="AR475" s="7">
        <f t="shared" si="92"/>
        <v>-7320.505481465204</v>
      </c>
      <c r="AS475" s="7"/>
      <c r="AT475" s="7">
        <f t="shared" si="93"/>
        <v>2039.0165153944217</v>
      </c>
      <c r="AU475" s="7">
        <f t="shared" si="94"/>
        <v>1157.2647749008549</v>
      </c>
      <c r="AV475" s="7"/>
      <c r="AX475" s="7">
        <f t="shared" si="95"/>
        <v>-54.058238693478295</v>
      </c>
      <c r="AY475" s="7">
        <f t="shared" si="96"/>
        <v>8.3517730456494981</v>
      </c>
      <c r="BB475" s="7">
        <f t="shared" si="97"/>
        <v>-9.4511243204547277</v>
      </c>
      <c r="BC475" s="7">
        <f t="shared" si="98"/>
        <v>1.2042995468317108</v>
      </c>
      <c r="BF475" s="7">
        <f t="shared" si="99"/>
        <v>-35.228966258204053</v>
      </c>
      <c r="BG475" s="7">
        <f t="shared" si="100"/>
        <v>-2.2372009894038376</v>
      </c>
      <c r="BI475" s="10">
        <f t="shared" si="101"/>
        <v>-98.738329272137065</v>
      </c>
      <c r="BJ475">
        <f t="shared" si="102"/>
        <v>7.3188716030773708</v>
      </c>
    </row>
    <row r="476" spans="42:62" x14ac:dyDescent="0.25">
      <c r="AP476" s="1">
        <v>471</v>
      </c>
      <c r="AQ476" s="7">
        <f t="shared" si="91"/>
        <v>116935.35013724971</v>
      </c>
      <c r="AR476" s="7">
        <f t="shared" si="92"/>
        <v>-6740.9582350643914</v>
      </c>
      <c r="AS476" s="7"/>
      <c r="AT476" s="7">
        <f t="shared" si="93"/>
        <v>1989.6473507583532</v>
      </c>
      <c r="AU476" s="7">
        <f t="shared" si="94"/>
        <v>1160.9242107023936</v>
      </c>
      <c r="AV476" s="7"/>
      <c r="AX476" s="7">
        <f t="shared" si="95"/>
        <v>-53.133990500267714</v>
      </c>
      <c r="AY476" s="7">
        <f t="shared" si="96"/>
        <v>7.8060164687623965</v>
      </c>
      <c r="BB476" s="7">
        <f t="shared" si="97"/>
        <v>-9.3308668477707108</v>
      </c>
      <c r="BC476" s="7">
        <f t="shared" si="98"/>
        <v>1.1407401524800582</v>
      </c>
      <c r="BF476" s="7">
        <f t="shared" si="99"/>
        <v>-34.626664060348745</v>
      </c>
      <c r="BG476" s="7">
        <f t="shared" si="100"/>
        <v>-2.3453663300504268</v>
      </c>
      <c r="BI476" s="10">
        <f t="shared" si="101"/>
        <v>-97.091521408387166</v>
      </c>
      <c r="BJ476">
        <f t="shared" si="102"/>
        <v>6.6013902911920281</v>
      </c>
    </row>
    <row r="477" spans="42:62" x14ac:dyDescent="0.25">
      <c r="AP477" s="1">
        <v>472</v>
      </c>
      <c r="AQ477" s="7">
        <f t="shared" si="91"/>
        <v>117918.03737245283</v>
      </c>
      <c r="AR477" s="7">
        <f t="shared" si="92"/>
        <v>-6159.6709559267956</v>
      </c>
      <c r="AS477" s="7"/>
      <c r="AT477" s="7">
        <f t="shared" si="93"/>
        <v>1941.1015900541597</v>
      </c>
      <c r="AU477" s="7">
        <f t="shared" si="94"/>
        <v>1164.2249058479895</v>
      </c>
      <c r="AV477" s="7"/>
      <c r="AX477" s="7">
        <f t="shared" si="95"/>
        <v>-52.2500560706684</v>
      </c>
      <c r="AY477" s="7">
        <f t="shared" si="96"/>
        <v>7.2889387135004533</v>
      </c>
      <c r="BB477" s="7">
        <f t="shared" si="97"/>
        <v>-9.2154130567585373</v>
      </c>
      <c r="BC477" s="7">
        <f t="shared" si="98"/>
        <v>1.0797575542494904</v>
      </c>
      <c r="BF477" s="7">
        <f t="shared" si="99"/>
        <v>-34.051091702638871</v>
      </c>
      <c r="BG477" s="7">
        <f t="shared" si="100"/>
        <v>-2.4489721882648672</v>
      </c>
      <c r="BI477" s="10">
        <f t="shared" si="101"/>
        <v>-95.516560830065799</v>
      </c>
      <c r="BJ477">
        <f t="shared" si="102"/>
        <v>5.9197240794850767</v>
      </c>
    </row>
    <row r="478" spans="42:62" x14ac:dyDescent="0.25">
      <c r="AP478" s="1">
        <v>473</v>
      </c>
      <c r="AQ478" s="7">
        <f t="shared" si="91"/>
        <v>118876.64859737616</v>
      </c>
      <c r="AR478" s="7">
        <f t="shared" si="92"/>
        <v>-5576.8185374928653</v>
      </c>
      <c r="AS478" s="7"/>
      <c r="AT478" s="7">
        <f t="shared" si="93"/>
        <v>1893.3433096391268</v>
      </c>
      <c r="AU478" s="7">
        <f t="shared" si="94"/>
        <v>1167.1847678877321</v>
      </c>
      <c r="AV478" s="7"/>
      <c r="AX478" s="7">
        <f t="shared" si="95"/>
        <v>-51.404269271630127</v>
      </c>
      <c r="AY478" s="7">
        <f t="shared" si="96"/>
        <v>6.7984130818868156</v>
      </c>
      <c r="BB478" s="7">
        <f t="shared" si="97"/>
        <v>-9.1045288895382068</v>
      </c>
      <c r="BC478" s="7">
        <f t="shared" si="98"/>
        <v>1.0211910772188486</v>
      </c>
      <c r="BF478" s="7">
        <f t="shared" si="99"/>
        <v>-33.500699474007845</v>
      </c>
      <c r="BG478" s="7">
        <f t="shared" si="100"/>
        <v>-2.5483670557679243</v>
      </c>
      <c r="BI478" s="10">
        <f t="shared" si="101"/>
        <v>-94.009497635176189</v>
      </c>
      <c r="BJ478">
        <f t="shared" si="102"/>
        <v>5.2712371033377394</v>
      </c>
    </row>
    <row r="479" spans="42:62" x14ac:dyDescent="0.25">
      <c r="AP479" s="1">
        <v>474</v>
      </c>
      <c r="AQ479" s="7">
        <f t="shared" si="91"/>
        <v>119811.56906499133</v>
      </c>
      <c r="AR479" s="7">
        <f t="shared" si="92"/>
        <v>-4992.5672489110821</v>
      </c>
      <c r="AS479" s="7"/>
      <c r="AT479" s="7">
        <f t="shared" si="93"/>
        <v>1846.3385608215387</v>
      </c>
      <c r="AU479" s="7">
        <f t="shared" si="94"/>
        <v>1169.8203864394009</v>
      </c>
      <c r="AV479" s="7"/>
      <c r="AX479" s="7">
        <f t="shared" si="95"/>
        <v>-50.594614620002893</v>
      </c>
      <c r="AY479" s="7">
        <f t="shared" si="96"/>
        <v>6.3324986421320402</v>
      </c>
      <c r="BB479" s="7">
        <f t="shared" si="97"/>
        <v>-8.9979961590671707</v>
      </c>
      <c r="BC479" s="7">
        <f t="shared" si="98"/>
        <v>0.964891985852391</v>
      </c>
      <c r="BF479" s="7">
        <f t="shared" si="99"/>
        <v>-32.974056659884482</v>
      </c>
      <c r="BG479" s="7">
        <f t="shared" si="100"/>
        <v>-2.643870732708768</v>
      </c>
      <c r="BI479" s="10">
        <f t="shared" si="101"/>
        <v>-92.566667438954539</v>
      </c>
      <c r="BJ479">
        <f t="shared" si="102"/>
        <v>4.6535198952756627</v>
      </c>
    </row>
    <row r="480" spans="42:62" x14ac:dyDescent="0.25">
      <c r="AP480" s="1">
        <v>475</v>
      </c>
      <c r="AQ480" s="7">
        <f t="shared" si="91"/>
        <v>120723.16751197223</v>
      </c>
      <c r="AR480" s="7">
        <f t="shared" si="92"/>
        <v>-4407.0753657044716</v>
      </c>
      <c r="AS480" s="7"/>
      <c r="AT480" s="7">
        <f t="shared" si="93"/>
        <v>1800.0552271020615</v>
      </c>
      <c r="AU480" s="7">
        <f t="shared" si="94"/>
        <v>1172.1471463870387</v>
      </c>
      <c r="AV480" s="7"/>
      <c r="AX480" s="7">
        <f t="shared" si="95"/>
        <v>-49.819215168331333</v>
      </c>
      <c r="AY480" s="7">
        <f t="shared" si="96"/>
        <v>5.8894211165376529</v>
      </c>
      <c r="BB480" s="7">
        <f t="shared" si="97"/>
        <v>-8.8956112537738647</v>
      </c>
      <c r="BC480" s="7">
        <f t="shared" si="98"/>
        <v>0.91072240643123337</v>
      </c>
      <c r="BF480" s="7">
        <f t="shared" si="99"/>
        <v>-32.46984051793298</v>
      </c>
      <c r="BG480" s="7">
        <f t="shared" si="100"/>
        <v>-2.7357771865022884</v>
      </c>
      <c r="BI480" s="10">
        <f t="shared" si="101"/>
        <v>-91.18466694003817</v>
      </c>
      <c r="BJ480">
        <f t="shared" si="102"/>
        <v>4.0643663364665983</v>
      </c>
    </row>
    <row r="481" spans="42:62" x14ac:dyDescent="0.25">
      <c r="AP481" s="1">
        <v>476</v>
      </c>
      <c r="AQ481" s="7">
        <f t="shared" si="91"/>
        <v>121611.79704215577</v>
      </c>
      <c r="AR481" s="7">
        <f t="shared" si="92"/>
        <v>-3820.4937467188938</v>
      </c>
      <c r="AS481" s="7"/>
      <c r="AT481" s="7">
        <f t="shared" si="93"/>
        <v>1754.4628936320423</v>
      </c>
      <c r="AU481" s="7">
        <f t="shared" si="94"/>
        <v>1174.179329555272</v>
      </c>
      <c r="AV481" s="7"/>
      <c r="AX481" s="7">
        <f t="shared" si="95"/>
        <v>-49.076321486302028</v>
      </c>
      <c r="AY481" s="7">
        <f t="shared" si="96"/>
        <v>5.467555999104702</v>
      </c>
      <c r="BB481" s="7">
        <f t="shared" si="97"/>
        <v>-8.7971839682433703</v>
      </c>
      <c r="BC481" s="7">
        <f t="shared" si="98"/>
        <v>0.85855436172206889</v>
      </c>
      <c r="BF481" s="7">
        <f t="shared" si="99"/>
        <v>-31.986826452085968</v>
      </c>
      <c r="BG481" s="7">
        <f t="shared" si="100"/>
        <v>-2.8243570875520363</v>
      </c>
      <c r="BI481" s="10">
        <f t="shared" si="101"/>
        <v>-89.860331906631359</v>
      </c>
      <c r="BJ481">
        <f t="shared" si="102"/>
        <v>3.5017532732747347</v>
      </c>
    </row>
    <row r="482" spans="42:62" x14ac:dyDescent="0.25">
      <c r="AP482" s="1">
        <v>477</v>
      </c>
      <c r="AQ482" s="7">
        <f t="shared" si="91"/>
        <v>122477.79594748346</v>
      </c>
      <c r="AR482" s="7">
        <f t="shared" si="92"/>
        <v>-3232.9663627820983</v>
      </c>
      <c r="AS482" s="7"/>
      <c r="AT482" s="7">
        <f t="shared" si="93"/>
        <v>1709.5327276787266</v>
      </c>
      <c r="AU482" s="7">
        <f t="shared" si="94"/>
        <v>1175.9302061919093</v>
      </c>
      <c r="AV482" s="7"/>
      <c r="AX482" s="7">
        <f t="shared" si="95"/>
        <v>-48.364301631845905</v>
      </c>
      <c r="AY482" s="7">
        <f t="shared" si="96"/>
        <v>5.0654136125260489</v>
      </c>
      <c r="BB482" s="7">
        <f t="shared" si="97"/>
        <v>-8.70253644588621</v>
      </c>
      <c r="BC482" s="7">
        <f t="shared" si="98"/>
        <v>0.80826890459300049</v>
      </c>
      <c r="BF482" s="7">
        <f t="shared" si="99"/>
        <v>-31.523879236468748</v>
      </c>
      <c r="BG482" s="7">
        <f t="shared" si="100"/>
        <v>-2.9098600630335532</v>
      </c>
      <c r="BI482" s="10">
        <f t="shared" si="101"/>
        <v>-88.590717314200859</v>
      </c>
      <c r="BJ482">
        <f t="shared" si="102"/>
        <v>2.9638224540854963</v>
      </c>
    </row>
    <row r="483" spans="42:62" x14ac:dyDescent="0.25">
      <c r="AP483" s="1">
        <v>478</v>
      </c>
      <c r="AQ483" s="7">
        <f t="shared" si="91"/>
        <v>123321.48847165855</v>
      </c>
      <c r="AR483" s="7">
        <f t="shared" si="92"/>
        <v>-2644.6307818793825</v>
      </c>
      <c r="AS483" s="7"/>
      <c r="AT483" s="7">
        <f t="shared" si="93"/>
        <v>1665.2373690216261</v>
      </c>
      <c r="AU483" s="7">
        <f t="shared" si="94"/>
        <v>1177.412117418952</v>
      </c>
      <c r="AV483" s="7"/>
      <c r="AX483" s="7">
        <f t="shared" si="95"/>
        <v>-47.68163201629141</v>
      </c>
      <c r="AY483" s="7">
        <f t="shared" si="96"/>
        <v>4.6816258557424808</v>
      </c>
      <c r="BB483" s="7">
        <f t="shared" si="97"/>
        <v>-8.6115022212906833</v>
      </c>
      <c r="BC483" s="7">
        <f t="shared" si="98"/>
        <v>0.75975533904036607</v>
      </c>
      <c r="BF483" s="7">
        <f t="shared" si="99"/>
        <v>-31.079945161367608</v>
      </c>
      <c r="BG483" s="7">
        <f t="shared" si="100"/>
        <v>-2.9925167041095415</v>
      </c>
      <c r="BI483" s="10">
        <f t="shared" si="101"/>
        <v>-87.373079398949699</v>
      </c>
      <c r="BJ483">
        <f t="shared" si="102"/>
        <v>2.4488644906733055</v>
      </c>
    </row>
    <row r="484" spans="42:62" x14ac:dyDescent="0.25">
      <c r="AP484" s="1">
        <v>479</v>
      </c>
      <c r="AQ484" s="7">
        <f t="shared" si="91"/>
        <v>124143.18552124449</v>
      </c>
      <c r="AR484" s="7">
        <f t="shared" si="92"/>
        <v>-2055.6186151085722</v>
      </c>
      <c r="AS484" s="7"/>
      <c r="AT484" s="7">
        <f t="shared" si="93"/>
        <v>1621.5508293221512</v>
      </c>
      <c r="AU484" s="7">
        <f t="shared" si="94"/>
        <v>1178.6365496642886</v>
      </c>
      <c r="AV484" s="7"/>
      <c r="AX484" s="7">
        <f t="shared" si="95"/>
        <v>-47.026889077420428</v>
      </c>
      <c r="AY484" s="7">
        <f t="shared" si="96"/>
        <v>4.3149344283037694</v>
      </c>
      <c r="BB484" s="7">
        <f t="shared" si="97"/>
        <v>-8.5239253514867439</v>
      </c>
      <c r="BC484" s="7">
        <f t="shared" si="98"/>
        <v>0.71291051859010046</v>
      </c>
      <c r="BF484" s="7">
        <f t="shared" si="99"/>
        <v>-30.654044990822612</v>
      </c>
      <c r="BG484" s="7">
        <f t="shared" si="100"/>
        <v>-3.0725403570407828</v>
      </c>
      <c r="BI484" s="10">
        <f t="shared" si="101"/>
        <v>-86.204859419729786</v>
      </c>
      <c r="BJ484">
        <f t="shared" si="102"/>
        <v>1.9553045898530872</v>
      </c>
    </row>
    <row r="485" spans="42:62" x14ac:dyDescent="0.25">
      <c r="AP485" s="1">
        <v>480</v>
      </c>
      <c r="AQ485" s="7">
        <f t="shared" si="91"/>
        <v>124943.18532847811</v>
      </c>
      <c r="AR485" s="7">
        <f t="shared" si="92"/>
        <v>-1466.0559272026962</v>
      </c>
      <c r="AS485" s="7"/>
      <c r="AT485" s="7">
        <f t="shared" si="93"/>
        <v>1578.4483996122863</v>
      </c>
      <c r="AU485" s="7">
        <f t="shared" si="94"/>
        <v>1179.6142019592153</v>
      </c>
      <c r="AV485" s="7"/>
      <c r="AX485" s="7">
        <f t="shared" si="95"/>
        <v>-46.398741682916345</v>
      </c>
      <c r="AY485" s="7">
        <f t="shared" si="96"/>
        <v>3.9641803474776611</v>
      </c>
      <c r="BB485" s="7">
        <f t="shared" si="97"/>
        <v>-8.4396596266624115</v>
      </c>
      <c r="BC485" s="7">
        <f t="shared" si="98"/>
        <v>0.66763821332173234</v>
      </c>
      <c r="BF485" s="7">
        <f t="shared" si="99"/>
        <v>-30.245267636221893</v>
      </c>
      <c r="BG485" s="7">
        <f t="shared" si="100"/>
        <v>-3.1501287244934391</v>
      </c>
      <c r="BI485" s="10">
        <f t="shared" si="101"/>
        <v>-85.083668945800639</v>
      </c>
      <c r="BJ485">
        <f t="shared" si="102"/>
        <v>1.4816898363059545</v>
      </c>
    </row>
    <row r="486" spans="42:62" x14ac:dyDescent="0.25">
      <c r="AP486" s="1">
        <v>481</v>
      </c>
      <c r="AQ486" s="7">
        <f t="shared" si="91"/>
        <v>125721.77406966602</v>
      </c>
      <c r="AR486" s="7">
        <f t="shared" si="92"/>
        <v>-876.06361499355035</v>
      </c>
      <c r="AS486" s="7"/>
      <c r="AT486" s="7">
        <f t="shared" si="93"/>
        <v>1535.906565139386</v>
      </c>
      <c r="AU486" s="7">
        <f t="shared" si="94"/>
        <v>1180.3550468773683</v>
      </c>
      <c r="AV486" s="7"/>
      <c r="AX486" s="7">
        <f t="shared" si="95"/>
        <v>-45.795944194438867</v>
      </c>
      <c r="AY486" s="7">
        <f t="shared" si="96"/>
        <v>3.6282945992615074</v>
      </c>
      <c r="BB486" s="7">
        <f t="shared" si="97"/>
        <v>-8.3585678520116424</v>
      </c>
      <c r="BC486" s="7">
        <f t="shared" si="98"/>
        <v>0.62384853786680894</v>
      </c>
      <c r="BF486" s="7">
        <f t="shared" si="99"/>
        <v>-29.852764462898417</v>
      </c>
      <c r="BG486" s="7">
        <f t="shared" si="100"/>
        <v>-3.2254652998042479</v>
      </c>
      <c r="BI486" s="10">
        <f t="shared" si="101"/>
        <v>-84.007276509348927</v>
      </c>
      <c r="BJ486">
        <f t="shared" si="102"/>
        <v>1.0266778373240686</v>
      </c>
    </row>
    <row r="487" spans="42:62" x14ac:dyDescent="0.25">
      <c r="AP487" s="1">
        <v>482</v>
      </c>
      <c r="AQ487" s="7">
        <f t="shared" si="91"/>
        <v>126479.22644267205</v>
      </c>
      <c r="AR487" s="7">
        <f t="shared" si="92"/>
        <v>-285.75775682520072</v>
      </c>
      <c r="AS487" s="7"/>
      <c r="AT487" s="7">
        <f t="shared" si="93"/>
        <v>1493.9029268847114</v>
      </c>
      <c r="AU487" s="7">
        <f t="shared" si="94"/>
        <v>1180.8683857960302</v>
      </c>
      <c r="AV487" s="7"/>
      <c r="AX487" s="7">
        <f t="shared" si="95"/>
        <v>-45.217330129602104</v>
      </c>
      <c r="AY487" s="7">
        <f t="shared" si="96"/>
        <v>3.306289785914422</v>
      </c>
      <c r="BB487" s="7">
        <f t="shared" si="97"/>
        <v>-8.2805211933777887</v>
      </c>
      <c r="BC487" s="7">
        <f t="shared" si="98"/>
        <v>0.58145743368377789</v>
      </c>
      <c r="BF487" s="7">
        <f t="shared" si="99"/>
        <v>-29.475744157507357</v>
      </c>
      <c r="BG487" s="7">
        <f t="shared" si="100"/>
        <v>-3.2987206539469294</v>
      </c>
      <c r="BI487" s="10">
        <f t="shared" si="101"/>
        <v>-82.973595480487248</v>
      </c>
      <c r="BJ487">
        <f t="shared" si="102"/>
        <v>0.58902656565127032</v>
      </c>
    </row>
    <row r="488" spans="42:62" x14ac:dyDescent="0.25">
      <c r="AP488" s="1">
        <v>483</v>
      </c>
      <c r="AQ488" s="7">
        <f t="shared" si="91"/>
        <v>127215.80620667935</v>
      </c>
      <c r="AR488" s="7">
        <f t="shared" si="92"/>
        <v>304.7500643935208</v>
      </c>
      <c r="AS488" s="7"/>
      <c r="AT488" s="7">
        <f t="shared" si="93"/>
        <v>1452.4161291444677</v>
      </c>
      <c r="AU488" s="7">
        <f t="shared" si="94"/>
        <v>1181.1628990788558</v>
      </c>
      <c r="AV488" s="7"/>
      <c r="AX488" s="7">
        <f t="shared" si="95"/>
        <v>-44.661806365432355</v>
      </c>
      <c r="AY488" s="7">
        <f t="shared" si="96"/>
        <v>2.9972526509335387</v>
      </c>
      <c r="BB488" s="7">
        <f t="shared" si="97"/>
        <v>-8.2053985802120923</v>
      </c>
      <c r="BC488" s="7">
        <f t="shared" si="98"/>
        <v>0.54038619973143465</v>
      </c>
      <c r="BF488" s="7">
        <f t="shared" si="99"/>
        <v>-29.113468093193831</v>
      </c>
      <c r="BG488" s="7">
        <f t="shared" si="100"/>
        <v>-3.3700535923632802</v>
      </c>
      <c r="BI488" s="10">
        <f t="shared" si="101"/>
        <v>-81.980673038838276</v>
      </c>
      <c r="BJ488">
        <f t="shared" si="102"/>
        <v>0.16758525830169324</v>
      </c>
    </row>
    <row r="489" spans="42:62" x14ac:dyDescent="0.25">
      <c r="AP489" s="1">
        <v>484</v>
      </c>
      <c r="AQ489" s="7">
        <f t="shared" si="91"/>
        <v>127931.76668712172</v>
      </c>
      <c r="AR489" s="7">
        <f t="shared" si="92"/>
        <v>895.35246209023649</v>
      </c>
      <c r="AS489" s="7"/>
      <c r="AT489" s="7">
        <f t="shared" si="93"/>
        <v>1411.4257926250486</v>
      </c>
      <c r="AU489" s="7">
        <f t="shared" si="94"/>
        <v>1181.2466917080067</v>
      </c>
      <c r="AV489" s="7"/>
      <c r="AX489" s="7">
        <f t="shared" si="95"/>
        <v>-44.128347832568799</v>
      </c>
      <c r="AY489" s="7">
        <f t="shared" si="96"/>
        <v>2.700337378051803</v>
      </c>
      <c r="BB489" s="7">
        <f t="shared" si="97"/>
        <v>-8.1330861601123754</v>
      </c>
      <c r="BC489" s="7">
        <f t="shared" si="98"/>
        <v>0.50056106637251074</v>
      </c>
      <c r="BF489" s="7">
        <f t="shared" si="99"/>
        <v>-28.765246137501574</v>
      </c>
      <c r="BG489" s="7">
        <f t="shared" si="100"/>
        <v>-3.4396121966132247</v>
      </c>
      <c r="BI489" s="10">
        <f t="shared" si="101"/>
        <v>-81.02668013018274</v>
      </c>
      <c r="BJ489">
        <f t="shared" si="102"/>
        <v>-0.23871375218891089</v>
      </c>
    </row>
    <row r="490" spans="42:62" x14ac:dyDescent="0.25">
      <c r="AP490" s="1">
        <v>485</v>
      </c>
      <c r="AQ490" s="7">
        <f t="shared" si="91"/>
        <v>128627.35124841798</v>
      </c>
      <c r="AR490" s="7">
        <f t="shared" si="92"/>
        <v>1485.9459687252163</v>
      </c>
      <c r="AS490" s="7"/>
      <c r="AT490" s="7">
        <f t="shared" si="93"/>
        <v>1370.9124525599573</v>
      </c>
      <c r="AU490" s="7">
        <f t="shared" si="94"/>
        <v>1181.1273348319123</v>
      </c>
      <c r="AV490" s="7"/>
      <c r="AX490" s="7">
        <f t="shared" si="95"/>
        <v>-43.615992654553693</v>
      </c>
      <c r="AY490" s="7">
        <f t="shared" si="96"/>
        <v>2.4147595742466397</v>
      </c>
      <c r="BB490" s="7">
        <f t="shared" si="97"/>
        <v>-8.0634767998564758</v>
      </c>
      <c r="BC490" s="7">
        <f t="shared" si="98"/>
        <v>0.46191280795390927</v>
      </c>
      <c r="BF490" s="7">
        <f t="shared" si="99"/>
        <v>-28.430432854794756</v>
      </c>
      <c r="BG490" s="7">
        <f t="shared" si="100"/>
        <v>-3.5075347638993595</v>
      </c>
      <c r="BI490" s="10">
        <f t="shared" si="101"/>
        <v>-80.109902309204926</v>
      </c>
      <c r="BJ490">
        <f t="shared" si="102"/>
        <v>-0.63086238169881037</v>
      </c>
    </row>
    <row r="491" spans="42:62" x14ac:dyDescent="0.25">
      <c r="AP491" s="1">
        <v>486</v>
      </c>
      <c r="AQ491" s="7">
        <f t="shared" si="91"/>
        <v>129302.7937369093</v>
      </c>
      <c r="AR491" s="7">
        <f t="shared" si="92"/>
        <v>2076.4307783434601</v>
      </c>
      <c r="AS491" s="7"/>
      <c r="AT491" s="7">
        <f t="shared" si="93"/>
        <v>1330.8575014053549</v>
      </c>
      <c r="AU491" s="7">
        <f t="shared" si="94"/>
        <v>1180.8119036410628</v>
      </c>
      <c r="AV491" s="7"/>
      <c r="AX491" s="7">
        <f t="shared" si="95"/>
        <v>-43.12383769113638</v>
      </c>
      <c r="AY491" s="7">
        <f t="shared" si="96"/>
        <v>2.1397908582677094</v>
      </c>
      <c r="BB491" s="7">
        <f t="shared" si="97"/>
        <v>-7.9964696284148387</v>
      </c>
      <c r="BC491" s="7">
        <f t="shared" si="98"/>
        <v>0.42437639004443961</v>
      </c>
      <c r="BF491" s="7">
        <f t="shared" si="99"/>
        <v>-28.108424060862255</v>
      </c>
      <c r="BG491" s="7">
        <f t="shared" si="100"/>
        <v>-3.5739506558881518</v>
      </c>
      <c r="BI491" s="10">
        <f t="shared" si="101"/>
        <v>-79.228731380413478</v>
      </c>
      <c r="BJ491">
        <f t="shared" si="102"/>
        <v>-1.0097834075760028</v>
      </c>
    </row>
    <row r="492" spans="42:62" x14ac:dyDescent="0.25">
      <c r="AP492" s="1">
        <v>487</v>
      </c>
      <c r="AQ492" s="7">
        <f t="shared" si="91"/>
        <v>129958.31889618942</v>
      </c>
      <c r="AR492" s="7">
        <f t="shared" si="92"/>
        <v>2666.7105072380446</v>
      </c>
      <c r="AS492" s="7"/>
      <c r="AT492" s="7">
        <f t="shared" si="93"/>
        <v>1291.2431357151481</v>
      </c>
      <c r="AU492" s="7">
        <f t="shared" si="94"/>
        <v>1180.3070119372749</v>
      </c>
      <c r="AV492" s="7"/>
      <c r="AX492" s="7">
        <f t="shared" si="95"/>
        <v>-42.651034448599887</v>
      </c>
      <c r="AY492" s="7">
        <f t="shared" si="96"/>
        <v>1.8747539861032738</v>
      </c>
      <c r="BB492" s="7">
        <f t="shared" si="97"/>
        <v>-7.931969617921351</v>
      </c>
      <c r="BC492" s="7">
        <f t="shared" si="98"/>
        <v>0.3878906477757787</v>
      </c>
      <c r="BF492" s="7">
        <f t="shared" si="99"/>
        <v>-27.798653692476364</v>
      </c>
      <c r="BG492" s="7">
        <f t="shared" si="100"/>
        <v>-3.6389810668411524</v>
      </c>
      <c r="BI492" s="10">
        <f t="shared" si="101"/>
        <v>-78.381657758997605</v>
      </c>
      <c r="BJ492">
        <f t="shared" si="102"/>
        <v>-1.3763364329620997</v>
      </c>
    </row>
    <row r="493" spans="42:62" x14ac:dyDescent="0.25">
      <c r="AP493" s="1">
        <v>488</v>
      </c>
      <c r="AQ493" s="7">
        <f t="shared" si="91"/>
        <v>130594.14275682712</v>
      </c>
      <c r="AR493" s="7">
        <f t="shared" si="92"/>
        <v>3256.691971152562</v>
      </c>
      <c r="AS493" s="7"/>
      <c r="AT493" s="7">
        <f t="shared" si="93"/>
        <v>1252.0523068356492</v>
      </c>
      <c r="AU493" s="7">
        <f t="shared" si="94"/>
        <v>1179.6188437207938</v>
      </c>
      <c r="AV493" s="7"/>
      <c r="AX493" s="7">
        <f t="shared" si="95"/>
        <v>-42.196785323809117</v>
      </c>
      <c r="AY493" s="7">
        <f t="shared" si="96"/>
        <v>1.6190184533531069</v>
      </c>
      <c r="BB493" s="7">
        <f t="shared" si="97"/>
        <v>-7.8698871990226875</v>
      </c>
      <c r="BC493" s="7">
        <f t="shared" si="98"/>
        <v>0.3523979921382932</v>
      </c>
      <c r="BF493" s="7">
        <f t="shared" si="99"/>
        <v>-27.500590959091735</v>
      </c>
      <c r="BG493" s="7">
        <f t="shared" si="100"/>
        <v>-3.7027397198506331</v>
      </c>
      <c r="BI493" s="10">
        <f t="shared" si="101"/>
        <v>-77.567263481923533</v>
      </c>
      <c r="BJ493">
        <f t="shared" si="102"/>
        <v>-1.7313232743592331</v>
      </c>
    </row>
    <row r="494" spans="42:62" x14ac:dyDescent="0.25">
      <c r="AP494" s="1">
        <v>489</v>
      </c>
      <c r="AQ494" s="7">
        <f t="shared" si="91"/>
        <v>131210.47300230971</v>
      </c>
      <c r="AR494" s="7">
        <f t="shared" si="92"/>
        <v>3846.2849776036642</v>
      </c>
      <c r="AS494" s="7"/>
      <c r="AT494" s="7">
        <f t="shared" si="93"/>
        <v>1213.2686750946875</v>
      </c>
      <c r="AU494" s="7">
        <f t="shared" si="94"/>
        <v>1178.7531820836143</v>
      </c>
      <c r="AV494" s="7"/>
      <c r="AX494" s="7">
        <f t="shared" si="95"/>
        <v>-41.760340151945876</v>
      </c>
      <c r="AY494" s="7">
        <f t="shared" si="96"/>
        <v>1.3719965218597407</v>
      </c>
      <c r="BB494" s="7">
        <f t="shared" si="97"/>
        <v>-7.8101379074068529</v>
      </c>
      <c r="BC494" s="7">
        <f t="shared" si="98"/>
        <v>0.31784414143762724</v>
      </c>
      <c r="BF494" s="7">
        <f t="shared" si="99"/>
        <v>-27.213737747715065</v>
      </c>
      <c r="BG494" s="7">
        <f t="shared" si="100"/>
        <v>-3.7653334989190688</v>
      </c>
      <c r="BI494" s="10">
        <f t="shared" si="101"/>
        <v>-76.784215807067795</v>
      </c>
      <c r="BJ494">
        <f t="shared" si="102"/>
        <v>-2.0754928356217004</v>
      </c>
    </row>
    <row r="495" spans="42:62" x14ac:dyDescent="0.25">
      <c r="AP495" s="1">
        <v>490</v>
      </c>
      <c r="AQ495" s="7">
        <f t="shared" si="91"/>
        <v>131807.50931288119</v>
      </c>
      <c r="AR495" s="7">
        <f t="shared" si="92"/>
        <v>4435.4021320410193</v>
      </c>
      <c r="AS495" s="7"/>
      <c r="AT495" s="7">
        <f t="shared" si="93"/>
        <v>1174.8765671911535</v>
      </c>
      <c r="AU495" s="7">
        <f t="shared" si="94"/>
        <v>1177.7154356658034</v>
      </c>
      <c r="AV495" s="7"/>
      <c r="AX495" s="7">
        <f t="shared" si="95"/>
        <v>-41.340993030855181</v>
      </c>
      <c r="AY495" s="7">
        <f t="shared" si="96"/>
        <v>1.1331396243442629</v>
      </c>
      <c r="BB495" s="7">
        <f t="shared" si="97"/>
        <v>-7.752642058653274</v>
      </c>
      <c r="BC495" s="7">
        <f t="shared" si="98"/>
        <v>0.28417787542852851</v>
      </c>
      <c r="BF495" s="7">
        <f t="shared" si="99"/>
        <v>-26.937626255322865</v>
      </c>
      <c r="BG495" s="7">
        <f t="shared" si="100"/>
        <v>-3.826863023706343</v>
      </c>
      <c r="BI495" s="10">
        <f t="shared" si="101"/>
        <v>-76.031261344831321</v>
      </c>
      <c r="BJ495">
        <f t="shared" si="102"/>
        <v>-2.4095455239335517</v>
      </c>
    </row>
    <row r="496" spans="42:62" x14ac:dyDescent="0.25">
      <c r="AP496" s="1">
        <v>491</v>
      </c>
      <c r="AQ496" s="7">
        <f t="shared" si="91"/>
        <v>132385.44368880865</v>
      </c>
      <c r="AR496" s="7">
        <f t="shared" si="92"/>
        <v>5023.9586566834287</v>
      </c>
      <c r="AS496" s="7"/>
      <c r="AT496" s="7">
        <f t="shared" si="93"/>
        <v>1136.8609365187378</v>
      </c>
      <c r="AU496" s="7">
        <f t="shared" si="94"/>
        <v>1176.5106629038366</v>
      </c>
      <c r="AV496" s="7"/>
      <c r="AX496" s="7">
        <f t="shared" si="95"/>
        <v>-40.93807939758387</v>
      </c>
      <c r="AY496" s="7">
        <f t="shared" si="96"/>
        <v>0.90193510633875695</v>
      </c>
      <c r="BB496" s="7">
        <f t="shared" si="97"/>
        <v>-7.6973244488433314</v>
      </c>
      <c r="BC496" s="7">
        <f t="shared" si="98"/>
        <v>0.25135080991452219</v>
      </c>
      <c r="BF496" s="7">
        <f t="shared" si="99"/>
        <v>-26.67181682611325</v>
      </c>
      <c r="BG496" s="7">
        <f t="shared" si="100"/>
        <v>-3.8874231729706219</v>
      </c>
      <c r="BI496" s="10">
        <f t="shared" si="101"/>
        <v>-75.307220672540453</v>
      </c>
      <c r="BJ496">
        <f t="shared" si="102"/>
        <v>-2.734137256717343</v>
      </c>
    </row>
    <row r="497" spans="42:62" x14ac:dyDescent="0.25">
      <c r="AP497" s="1">
        <v>492</v>
      </c>
      <c r="AQ497" s="7">
        <f t="shared" si="91"/>
        <v>132944.46075448397</v>
      </c>
      <c r="AR497" s="7">
        <f t="shared" si="92"/>
        <v>5611.8722209782572</v>
      </c>
      <c r="AS497" s="7"/>
      <c r="AT497" s="7">
        <f t="shared" si="93"/>
        <v>1099.2073261824676</v>
      </c>
      <c r="AU497" s="7">
        <f t="shared" si="94"/>
        <v>1175.1435942754779</v>
      </c>
      <c r="AV497" s="7"/>
      <c r="AX497" s="7">
        <f t="shared" si="95"/>
        <v>-40.550973335026811</v>
      </c>
      <c r="AY497" s="7">
        <f t="shared" si="96"/>
        <v>0.67790326952527746</v>
      </c>
      <c r="BB497" s="7">
        <f t="shared" si="97"/>
        <v>-7.6441140786366084</v>
      </c>
      <c r="BC497" s="7">
        <f t="shared" si="98"/>
        <v>0.21931718984136589</v>
      </c>
      <c r="BF497" s="7">
        <f t="shared" si="99"/>
        <v>-26.415895973441149</v>
      </c>
      <c r="BG497" s="7">
        <f t="shared" si="100"/>
        <v>-3.9471035620364656</v>
      </c>
      <c r="BI497" s="10">
        <f t="shared" si="101"/>
        <v>-74.610983387104568</v>
      </c>
      <c r="BJ497">
        <f t="shared" si="102"/>
        <v>-3.0498831026698223</v>
      </c>
    </row>
    <row r="498" spans="42:62" x14ac:dyDescent="0.25">
      <c r="AP498" s="1">
        <v>493</v>
      </c>
      <c r="AQ498" s="7">
        <f t="shared" si="91"/>
        <v>133484.73804465181</v>
      </c>
      <c r="AR498" s="7">
        <f t="shared" si="92"/>
        <v>6199.0627827281623</v>
      </c>
      <c r="AS498" s="7"/>
      <c r="AT498" s="7">
        <f t="shared" si="93"/>
        <v>1061.9018344889153</v>
      </c>
      <c r="AU498" s="7">
        <f t="shared" si="94"/>
        <v>1173.618652724143</v>
      </c>
      <c r="AV498" s="7"/>
      <c r="AX498" s="7">
        <f t="shared" si="95"/>
        <v>-40.179085088764218</v>
      </c>
      <c r="AY498" s="7">
        <f t="shared" si="96"/>
        <v>0.46059468478782511</v>
      </c>
      <c r="BB498" s="7">
        <f t="shared" si="97"/>
        <v>-7.5929438987503337</v>
      </c>
      <c r="BC498" s="7">
        <f t="shared" si="98"/>
        <v>0.18803369912271814</v>
      </c>
      <c r="BF498" s="7">
        <f t="shared" si="99"/>
        <v>-26.169474568506033</v>
      </c>
      <c r="BG498" s="7">
        <f t="shared" si="100"/>
        <v>-4.0059889790158154</v>
      </c>
      <c r="BI498" s="10">
        <f t="shared" si="101"/>
        <v>-73.941503556020592</v>
      </c>
      <c r="BJ498">
        <f t="shared" si="102"/>
        <v>-3.3573605951052721</v>
      </c>
    </row>
    <row r="499" spans="42:62" x14ac:dyDescent="0.25">
      <c r="AP499" s="1">
        <v>494</v>
      </c>
      <c r="AQ499" s="7">
        <f t="shared" si="91"/>
        <v>134006.44627395176</v>
      </c>
      <c r="AR499" s="7">
        <f t="shared" si="92"/>
        <v>6785.4524390158458</v>
      </c>
      <c r="AS499" s="7"/>
      <c r="AT499" s="7">
        <f t="shared" si="93"/>
        <v>1024.931082710905</v>
      </c>
      <c r="AU499" s="7">
        <f t="shared" si="94"/>
        <v>1171.9399724265904</v>
      </c>
      <c r="AV499" s="7"/>
      <c r="AX499" s="7">
        <f t="shared" si="95"/>
        <v>-39.821858776048906</v>
      </c>
      <c r="AY499" s="7">
        <f t="shared" si="96"/>
        <v>0.24958774694113503</v>
      </c>
      <c r="BB499" s="7">
        <f t="shared" si="97"/>
        <v>-7.5437505749887448</v>
      </c>
      <c r="BC499" s="7">
        <f t="shared" si="98"/>
        <v>0.15745928562215267</v>
      </c>
      <c r="BF499" s="7">
        <f t="shared" si="99"/>
        <v>-25.932186179836357</v>
      </c>
      <c r="BG499" s="7">
        <f t="shared" si="100"/>
        <v>-4.0641597839796955</v>
      </c>
      <c r="BI499" s="10">
        <f t="shared" si="101"/>
        <v>-73.297795530873998</v>
      </c>
      <c r="BJ499">
        <f t="shared" si="102"/>
        <v>-3.6571127514164075</v>
      </c>
    </row>
    <row r="500" spans="42:62" x14ac:dyDescent="0.25">
      <c r="AP500" s="1">
        <v>495</v>
      </c>
      <c r="AQ500" s="7">
        <f t="shared" si="91"/>
        <v>134509.74959086586</v>
      </c>
      <c r="AR500" s="7">
        <f t="shared" si="92"/>
        <v>7370.9652861352133</v>
      </c>
      <c r="AS500" s="7"/>
      <c r="AT500" s="7">
        <f t="shared" si="93"/>
        <v>988.28218494546798</v>
      </c>
      <c r="AU500" s="7">
        <f t="shared" si="94"/>
        <v>1170.1114160508823</v>
      </c>
      <c r="AV500" s="7"/>
      <c r="AX500" s="7">
        <f t="shared" si="95"/>
        <v>-39.478770270629475</v>
      </c>
      <c r="AY500" s="7">
        <f t="shared" si="96"/>
        <v>4.4486446296540208E-2</v>
      </c>
      <c r="BB500" s="7">
        <f t="shared" si="97"/>
        <v>-7.4964742711532022</v>
      </c>
      <c r="BC500" s="7">
        <f t="shared" si="98"/>
        <v>0.12755499987957458</v>
      </c>
      <c r="BF500" s="7">
        <f t="shared" si="99"/>
        <v>-25.703685549325147</v>
      </c>
      <c r="BG500" s="7">
        <f t="shared" si="100"/>
        <v>-4.1216922748124292</v>
      </c>
      <c r="BI500" s="10">
        <f t="shared" si="101"/>
        <v>-72.678930091107816</v>
      </c>
      <c r="BJ500">
        <f t="shared" si="102"/>
        <v>-3.9496508286363143</v>
      </c>
    </row>
    <row r="501" spans="42:62" x14ac:dyDescent="0.25">
      <c r="AP501" s="1">
        <v>496</v>
      </c>
      <c r="AQ501" s="7">
        <f t="shared" si="91"/>
        <v>134994.8058170772</v>
      </c>
      <c r="AR501" s="7">
        <f t="shared" si="92"/>
        <v>7955.5272878070746</v>
      </c>
      <c r="AS501" s="7"/>
      <c r="AT501" s="7">
        <f t="shared" si="93"/>
        <v>951.9427198999141</v>
      </c>
      <c r="AU501" s="7">
        <f t="shared" si="94"/>
        <v>1168.1365906365643</v>
      </c>
      <c r="AV501" s="7"/>
      <c r="AX501" s="7">
        <f t="shared" si="95"/>
        <v>-39.149325248641681</v>
      </c>
      <c r="AY501" s="7">
        <f t="shared" si="96"/>
        <v>-0.15508166497849254</v>
      </c>
      <c r="BB501" s="7">
        <f t="shared" si="97"/>
        <v>-7.4510584483277036</v>
      </c>
      <c r="BC501" s="7">
        <f t="shared" si="98"/>
        <v>9.8283846315075279E-2</v>
      </c>
      <c r="BF501" s="7">
        <f t="shared" si="99"/>
        <v>-25.483647192099536</v>
      </c>
      <c r="BG501" s="7">
        <f t="shared" si="100"/>
        <v>-4.178659023074478</v>
      </c>
      <c r="BI501" s="10">
        <f t="shared" si="101"/>
        <v>-72.084030889068913</v>
      </c>
      <c r="BJ501">
        <f t="shared" si="102"/>
        <v>-4.2354568417378955</v>
      </c>
    </row>
    <row r="502" spans="42:62" x14ac:dyDescent="0.25">
      <c r="AP502" s="1">
        <v>497</v>
      </c>
      <c r="AQ502" s="7">
        <f t="shared" si="91"/>
        <v>135461.76667316604</v>
      </c>
      <c r="AR502" s="7">
        <f t="shared" si="92"/>
        <v>8539.0661510201389</v>
      </c>
      <c r="AS502" s="7"/>
      <c r="AT502" s="7">
        <f t="shared" si="93"/>
        <v>915.90070445537958</v>
      </c>
      <c r="AU502" s="7">
        <f t="shared" si="94"/>
        <v>1166.0188622156954</v>
      </c>
      <c r="AV502" s="7"/>
      <c r="AX502" s="7">
        <f t="shared" si="95"/>
        <v>-38.833057382166643</v>
      </c>
      <c r="AY502" s="7">
        <f t="shared" si="96"/>
        <v>-0.34946733129980484</v>
      </c>
      <c r="BB502" s="7">
        <f t="shared" si="97"/>
        <v>-7.4074496791821609</v>
      </c>
      <c r="BC502" s="7">
        <f t="shared" si="98"/>
        <v>6.9610645771724405E-2</v>
      </c>
      <c r="BF502" s="7">
        <f t="shared" si="99"/>
        <v>-25.271764108839335</v>
      </c>
      <c r="BG502" s="7">
        <f t="shared" si="100"/>
        <v>-4.2351291828411188</v>
      </c>
      <c r="BI502" s="10">
        <f t="shared" si="101"/>
        <v>-71.512271170188143</v>
      </c>
      <c r="BJ502">
        <f t="shared" si="102"/>
        <v>-4.5149858683691999</v>
      </c>
    </row>
    <row r="503" spans="42:62" x14ac:dyDescent="0.25">
      <c r="AP503" s="1">
        <v>498</v>
      </c>
      <c r="AQ503" s="7">
        <f t="shared" si="91"/>
        <v>135910.77799149745</v>
      </c>
      <c r="AR503" s="7">
        <f t="shared" si="92"/>
        <v>9121.5112088944406</v>
      </c>
      <c r="AS503" s="7"/>
      <c r="AT503" s="7">
        <f t="shared" si="93"/>
        <v>880.14456887028553</v>
      </c>
      <c r="AU503" s="7">
        <f t="shared" si="94"/>
        <v>1163.7613692815107</v>
      </c>
      <c r="AV503" s="7"/>
      <c r="AX503" s="7">
        <f t="shared" si="95"/>
        <v>-38.529526668321665</v>
      </c>
      <c r="AY503" s="7">
        <f t="shared" si="96"/>
        <v>-0.53900129434610244</v>
      </c>
      <c r="BB503" s="7">
        <f t="shared" si="97"/>
        <v>-7.3655974760651857</v>
      </c>
      <c r="BC503" s="7">
        <f t="shared" si="98"/>
        <v>4.1501908372694643E-2</v>
      </c>
      <c r="BF503" s="7">
        <f t="shared" si="99"/>
        <v>-25.067746600348315</v>
      </c>
      <c r="BG503" s="7">
        <f t="shared" si="100"/>
        <v>-4.2911687751700098</v>
      </c>
      <c r="BI503" s="10">
        <f t="shared" si="101"/>
        <v>-70.96287074473517</v>
      </c>
      <c r="BJ503">
        <f t="shared" si="102"/>
        <v>-4.7886681611434181</v>
      </c>
    </row>
    <row r="504" spans="42:62" x14ac:dyDescent="0.25">
      <c r="AP504" s="1">
        <v>499</v>
      </c>
      <c r="AQ504" s="7">
        <f t="shared" si="91"/>
        <v>136341.97991708951</v>
      </c>
      <c r="AR504" s="7">
        <f t="shared" si="92"/>
        <v>9702.7933100150531</v>
      </c>
      <c r="AS504" s="7"/>
      <c r="AT504" s="7">
        <f t="shared" si="93"/>
        <v>844.6631334979179</v>
      </c>
      <c r="AU504" s="7">
        <f t="shared" si="94"/>
        <v>1161.367035200939</v>
      </c>
      <c r="AV504" s="7"/>
      <c r="AX504" s="7">
        <f t="shared" si="95"/>
        <v>-38.238317882852023</v>
      </c>
      <c r="AY504" s="7">
        <f t="shared" si="96"/>
        <v>-0.72399585152841872</v>
      </c>
      <c r="BB504" s="7">
        <f t="shared" si="97"/>
        <v>-7.3254541317774331</v>
      </c>
      <c r="BC504" s="7">
        <f t="shared" si="98"/>
        <v>1.3925715769345585E-2</v>
      </c>
      <c r="BF504" s="7">
        <f t="shared" si="99"/>
        <v>-24.871321175223429</v>
      </c>
      <c r="BG504" s="7">
        <f t="shared" si="100"/>
        <v>-4.3468409505721075</v>
      </c>
      <c r="BI504" s="10">
        <f t="shared" si="101"/>
        <v>-70.435093189852893</v>
      </c>
      <c r="BJ504">
        <f t="shared" si="102"/>
        <v>-5.0569110863311808</v>
      </c>
    </row>
    <row r="505" spans="42:62" x14ac:dyDescent="0.25">
      <c r="AP505" s="1">
        <v>500</v>
      </c>
      <c r="AQ505" s="7">
        <f t="shared" si="91"/>
        <v>136755.50709718975</v>
      </c>
      <c r="AR505" s="7">
        <f t="shared" si="92"/>
        <v>10282.844713729732</v>
      </c>
      <c r="AS505" s="7"/>
      <c r="AT505" s="7">
        <f t="shared" si="93"/>
        <v>809.44558690299141</v>
      </c>
      <c r="AU505" s="7">
        <f t="shared" si="94"/>
        <v>1158.8385796577734</v>
      </c>
      <c r="AV505" s="7"/>
      <c r="AX505" s="7">
        <f t="shared" si="95"/>
        <v>-37.959039148222615</v>
      </c>
      <c r="AY505" s="7">
        <f t="shared" si="96"/>
        <v>-0.90474628613414487</v>
      </c>
      <c r="BB505" s="7">
        <f t="shared" si="97"/>
        <v>-7.2869745720182459</v>
      </c>
      <c r="BC505" s="7">
        <f t="shared" si="98"/>
        <v>-1.31483880531256E-2</v>
      </c>
      <c r="BF505" s="7">
        <f t="shared" si="99"/>
        <v>-24.682229542405661</v>
      </c>
      <c r="BG505" s="7">
        <f t="shared" si="100"/>
        <v>-4.4022062316169883</v>
      </c>
      <c r="BI505" s="10">
        <f t="shared" si="101"/>
        <v>-69.928243262646518</v>
      </c>
      <c r="BJ505">
        <f t="shared" si="102"/>
        <v>-5.3201009058042592</v>
      </c>
    </row>
    <row r="506" spans="42:62" x14ac:dyDescent="0.25">
      <c r="AP506" s="1">
        <v>501</v>
      </c>
      <c r="AQ506" s="7">
        <f t="shared" si="91"/>
        <v>137151.4888602334</v>
      </c>
      <c r="AR506" s="7">
        <f t="shared" si="92"/>
        <v>10861.598990945393</v>
      </c>
      <c r="AS506" s="7"/>
      <c r="AT506" s="7">
        <f t="shared" si="93"/>
        <v>774.48146527166818</v>
      </c>
      <c r="AU506" s="7">
        <f t="shared" si="94"/>
        <v>1156.1785292048712</v>
      </c>
      <c r="AV506" s="7"/>
      <c r="AX506" s="7">
        <f t="shared" si="95"/>
        <v>-37.691320607101616</v>
      </c>
      <c r="AY506" s="7">
        <f t="shared" si="96"/>
        <v>-1.0815321815618935</v>
      </c>
      <c r="BB506" s="7">
        <f t="shared" si="97"/>
        <v>-7.2501162185956067</v>
      </c>
      <c r="BC506" s="7">
        <f t="shared" si="98"/>
        <v>-3.9749498165648656E-2</v>
      </c>
      <c r="BF506" s="7">
        <f t="shared" si="99"/>
        <v>-24.500227681208987</v>
      </c>
      <c r="BG506" s="7">
        <f t="shared" si="100"/>
        <v>-4.4573227375850539</v>
      </c>
      <c r="BI506" s="10">
        <f t="shared" si="101"/>
        <v>-69.441664506906207</v>
      </c>
      <c r="BJ506">
        <f t="shared" si="102"/>
        <v>-5.5786044173125964</v>
      </c>
    </row>
    <row r="507" spans="42:62" x14ac:dyDescent="0.25">
      <c r="AP507" s="1">
        <v>502</v>
      </c>
      <c r="AQ507" s="7">
        <f t="shared" si="91"/>
        <v>137530.04938480587</v>
      </c>
      <c r="AR507" s="7">
        <f t="shared" si="92"/>
        <v>11438.990929995663</v>
      </c>
      <c r="AS507" s="7"/>
      <c r="AT507" s="7">
        <f t="shared" si="93"/>
        <v>739.76063301821512</v>
      </c>
      <c r="AU507" s="7">
        <f t="shared" si="94"/>
        <v>1153.3892269962148</v>
      </c>
      <c r="AV507" s="7"/>
      <c r="AX507" s="7">
        <f t="shared" si="95"/>
        <v>-37.434813192970289</v>
      </c>
      <c r="AY507" s="7">
        <f t="shared" si="96"/>
        <v>-1.2546186307674163</v>
      </c>
      <c r="BB507" s="7">
        <f t="shared" si="97"/>
        <v>-7.2148388625720488</v>
      </c>
      <c r="BC507" s="7">
        <f t="shared" si="98"/>
        <v>-6.5905442962571573E-2</v>
      </c>
      <c r="BF507" s="7">
        <f t="shared" si="99"/>
        <v>-24.325084982168942</v>
      </c>
      <c r="BG507" s="7">
        <f t="shared" si="100"/>
        <v>-4.5122463928894003</v>
      </c>
      <c r="BI507" s="10">
        <f t="shared" si="101"/>
        <v>-68.974737037711279</v>
      </c>
      <c r="BJ507">
        <f t="shared" si="102"/>
        <v>-5.8327704666193885</v>
      </c>
    </row>
    <row r="508" spans="42:62" x14ac:dyDescent="0.25">
      <c r="AP508" s="1">
        <v>503</v>
      </c>
      <c r="AQ508" s="7">
        <f t="shared" si="91"/>
        <v>137891.30785918527</v>
      </c>
      <c r="AR508" s="7">
        <f t="shared" si="92"/>
        <v>12014.956447185445</v>
      </c>
      <c r="AS508" s="7"/>
      <c r="AT508" s="7">
        <f t="shared" si="93"/>
        <v>705.27326449935947</v>
      </c>
      <c r="AU508" s="7">
        <f t="shared" si="94"/>
        <v>1150.4728417629051</v>
      </c>
      <c r="AV508" s="7"/>
      <c r="AX508" s="7">
        <f t="shared" si="95"/>
        <v>-37.189187490321878</v>
      </c>
      <c r="AY508" s="7">
        <f t="shared" si="96"/>
        <v>-1.42425735089455</v>
      </c>
      <c r="BB508" s="7">
        <f t="shared" si="97"/>
        <v>-7.1811045465955896</v>
      </c>
      <c r="BC508" s="7">
        <f t="shared" si="98"/>
        <v>-9.1642871924147717E-2</v>
      </c>
      <c r="BF508" s="7">
        <f t="shared" si="99"/>
        <v>-24.156583452698172</v>
      </c>
      <c r="BG508" s="7">
        <f t="shared" si="100"/>
        <v>-4.5670311208190988</v>
      </c>
      <c r="BI508" s="10">
        <f t="shared" si="101"/>
        <v>-68.526875489615634</v>
      </c>
      <c r="BJ508">
        <f t="shared" si="102"/>
        <v>-6.0829313436377959</v>
      </c>
    </row>
    <row r="509" spans="42:62" x14ac:dyDescent="0.25">
      <c r="AP509" s="1">
        <v>504</v>
      </c>
      <c r="AQ509" s="7">
        <f t="shared" si="91"/>
        <v>138235.37863199876</v>
      </c>
      <c r="AR509" s="7">
        <f t="shared" si="92"/>
        <v>12589.432501648942</v>
      </c>
      <c r="AS509" s="7"/>
      <c r="AT509" s="7">
        <f t="shared" si="93"/>
        <v>671.00982675455168</v>
      </c>
      <c r="AU509" s="7">
        <f t="shared" si="94"/>
        <v>1147.4313760910861</v>
      </c>
      <c r="AV509" s="7"/>
      <c r="AX509" s="7">
        <f t="shared" si="95"/>
        <v>-36.954132677597258</v>
      </c>
      <c r="AY509" s="7">
        <f t="shared" si="96"/>
        <v>-1.59068771205094</v>
      </c>
      <c r="BB509" s="7">
        <f t="shared" si="97"/>
        <v>-7.1488774557334631</v>
      </c>
      <c r="BC509" s="7">
        <f t="shared" si="98"/>
        <v>-0.11698733743503158</v>
      </c>
      <c r="BF509" s="7">
        <f t="shared" si="99"/>
        <v>-23.994516982123503</v>
      </c>
      <c r="BG509" s="7">
        <f t="shared" si="100"/>
        <v>-4.621729024005778</v>
      </c>
      <c r="BI509" s="10">
        <f t="shared" si="101"/>
        <v>-68.097527115454227</v>
      </c>
      <c r="BJ509">
        <f t="shared" si="102"/>
        <v>-6.3294040734917498</v>
      </c>
    </row>
    <row r="510" spans="42:62" x14ac:dyDescent="0.25">
      <c r="AP510" s="1">
        <v>505</v>
      </c>
      <c r="AQ510" s="7">
        <f t="shared" si="91"/>
        <v>138562.37135448662</v>
      </c>
      <c r="AR510" s="7">
        <f t="shared" si="92"/>
        <v>13162.357014185298</v>
      </c>
      <c r="AS510" s="7"/>
      <c r="AT510" s="7">
        <f t="shared" si="93"/>
        <v>636.96106319682463</v>
      </c>
      <c r="AU510" s="7">
        <f t="shared" si="94"/>
        <v>1144.2666740543402</v>
      </c>
      <c r="AV510" s="7"/>
      <c r="AX510" s="7">
        <f t="shared" si="95"/>
        <v>-36.729355546607614</v>
      </c>
      <c r="AY510" s="7">
        <f t="shared" si="96"/>
        <v>-1.7541376882891535</v>
      </c>
      <c r="BB510" s="7">
        <f t="shared" si="97"/>
        <v>-7.1181238161884757</v>
      </c>
      <c r="BC510" s="7">
        <f t="shared" si="98"/>
        <v>-0.14196337116855379</v>
      </c>
      <c r="BF510" s="7">
        <f t="shared" si="99"/>
        <v>-23.838690661196484</v>
      </c>
      <c r="BG510" s="7">
        <f t="shared" si="100"/>
        <v>-4.6763905528811751</v>
      </c>
      <c r="BI510" s="10">
        <f t="shared" si="101"/>
        <v>-67.686170023992574</v>
      </c>
      <c r="BJ510">
        <f t="shared" si="102"/>
        <v>-6.572491612338883</v>
      </c>
    </row>
    <row r="511" spans="42:62" x14ac:dyDescent="0.25">
      <c r="AP511" s="1">
        <v>506</v>
      </c>
      <c r="AQ511" s="7">
        <f t="shared" si="91"/>
        <v>138872.39111483202</v>
      </c>
      <c r="AR511" s="7">
        <f t="shared" si="92"/>
        <v>13733.668789760924</v>
      </c>
      <c r="AS511" s="7"/>
      <c r="AT511" s="7">
        <f t="shared" si="93"/>
        <v>603.1179781848283</v>
      </c>
      <c r="AU511" s="7">
        <f t="shared" si="94"/>
        <v>1140.9804282481707</v>
      </c>
      <c r="AV511" s="7"/>
      <c r="AX511" s="7">
        <f t="shared" si="95"/>
        <v>-36.514579592750607</v>
      </c>
      <c r="AY511" s="7">
        <f t="shared" si="96"/>
        <v>-1.9148247380561851</v>
      </c>
      <c r="BB511" s="7">
        <f t="shared" si="97"/>
        <v>-7.0888118013335957</v>
      </c>
      <c r="BC511" s="7">
        <f t="shared" si="98"/>
        <v>-0.16659455550082192</v>
      </c>
      <c r="BF511" s="7">
        <f t="shared" si="99"/>
        <v>-23.688920151641369</v>
      </c>
      <c r="BG511" s="7">
        <f t="shared" si="100"/>
        <v>-4.7310646632756566</v>
      </c>
      <c r="BI511" s="10">
        <f t="shared" si="101"/>
        <v>-67.292311545725568</v>
      </c>
      <c r="BJ511">
        <f t="shared" si="102"/>
        <v>-6.8124839568326641</v>
      </c>
    </row>
    <row r="512" spans="42:62" x14ac:dyDescent="0.25">
      <c r="AP512" s="1">
        <v>507</v>
      </c>
      <c r="AQ512" s="7">
        <f t="shared" si="91"/>
        <v>139165.53856498122</v>
      </c>
      <c r="AR512" s="7">
        <f t="shared" si="92"/>
        <v>14303.307443390406</v>
      </c>
      <c r="AS512" s="7"/>
      <c r="AT512" s="7">
        <f t="shared" si="93"/>
        <v>569.47182241196549</v>
      </c>
      <c r="AU512" s="7">
        <f t="shared" si="94"/>
        <v>1137.5741862697544</v>
      </c>
      <c r="AV512" s="7"/>
      <c r="AX512" s="7">
        <f t="shared" si="95"/>
        <v>-36.309544170825262</v>
      </c>
      <c r="AY512" s="7">
        <f t="shared" si="96"/>
        <v>-2.0729566206658392</v>
      </c>
      <c r="BB512" s="7">
        <f t="shared" si="97"/>
        <v>-7.0609114445503653</v>
      </c>
      <c r="BC512" s="7">
        <f t="shared" si="98"/>
        <v>-0.19090359037769308</v>
      </c>
      <c r="BF512" s="7">
        <f t="shared" si="99"/>
        <v>-23.545031101713956</v>
      </c>
      <c r="BG512" s="7">
        <f t="shared" si="100"/>
        <v>-4.7857989642006293</v>
      </c>
      <c r="BI512" s="10">
        <f t="shared" si="101"/>
        <v>-66.915486717089578</v>
      </c>
      <c r="BJ512">
        <f t="shared" si="102"/>
        <v>-7.0496591752441615</v>
      </c>
    </row>
    <row r="513" spans="42:62" x14ac:dyDescent="0.25">
      <c r="AP513" s="1">
        <v>508</v>
      </c>
      <c r="AQ513" s="7">
        <f t="shared" si="91"/>
        <v>139441.91004034757</v>
      </c>
      <c r="AR513" s="7">
        <f t="shared" si="92"/>
        <v>14871.213329128377</v>
      </c>
      <c r="AS513" s="7"/>
      <c r="AT513" s="7">
        <f t="shared" si="93"/>
        <v>536.01407905342069</v>
      </c>
      <c r="AU513" s="7">
        <f t="shared" si="94"/>
        <v>1134.0493566821324</v>
      </c>
      <c r="AV513" s="7"/>
      <c r="AX513" s="7">
        <f t="shared" si="95"/>
        <v>-36.114003711706829</v>
      </c>
      <c r="AY513" s="7">
        <f t="shared" si="96"/>
        <v>-2.2287321547185668</v>
      </c>
      <c r="BB513" s="7">
        <f t="shared" si="97"/>
        <v>-7.0343945584038581</v>
      </c>
      <c r="BC513" s="7">
        <f t="shared" si="98"/>
        <v>-0.21491235602090947</v>
      </c>
      <c r="BF513" s="7">
        <f t="shared" si="99"/>
        <v>-23.406858604125251</v>
      </c>
      <c r="BG513" s="7">
        <f t="shared" si="100"/>
        <v>-4.8406398567649882</v>
      </c>
      <c r="BI513" s="10">
        <f t="shared" si="101"/>
        <v>-66.555256874235937</v>
      </c>
      <c r="BJ513">
        <f t="shared" si="102"/>
        <v>-7.2842843675044646</v>
      </c>
    </row>
    <row r="514" spans="42:62" x14ac:dyDescent="0.25">
      <c r="AP514" s="1">
        <v>509</v>
      </c>
      <c r="AQ514" s="7">
        <f t="shared" si="91"/>
        <v>139701.597672765</v>
      </c>
      <c r="AR514" s="7">
        <f t="shared" si="92"/>
        <v>15437.327471923505</v>
      </c>
      <c r="AS514" s="7"/>
      <c r="AT514" s="7">
        <f t="shared" si="93"/>
        <v>502.7364506163027</v>
      </c>
      <c r="AU514" s="7">
        <f t="shared" si="94"/>
        <v>1130.4072144983802</v>
      </c>
      <c r="AV514" s="7"/>
      <c r="AX514" s="7">
        <f t="shared" si="95"/>
        <v>-35.927726995559809</v>
      </c>
      <c r="AY514" s="7">
        <f t="shared" si="96"/>
        <v>-2.382341923833049</v>
      </c>
      <c r="BB514" s="7">
        <f t="shared" si="97"/>
        <v>-7.009234659727845</v>
      </c>
      <c r="BC514" s="7">
        <f t="shared" si="98"/>
        <v>-0.23864197182666022</v>
      </c>
      <c r="BF514" s="7">
        <f t="shared" si="99"/>
        <v>-23.274246693019926</v>
      </c>
      <c r="BG514" s="7">
        <f t="shared" si="100"/>
        <v>-4.8956326650919397</v>
      </c>
      <c r="BI514" s="10">
        <f t="shared" si="101"/>
        <v>-66.211208348307579</v>
      </c>
      <c r="BJ514">
        <f t="shared" si="102"/>
        <v>-7.5166165607516486</v>
      </c>
    </row>
    <row r="515" spans="42:62" x14ac:dyDescent="0.25">
      <c r="AP515" s="1">
        <v>510</v>
      </c>
      <c r="AQ515" s="7">
        <f t="shared" si="91"/>
        <v>139944.68949702961</v>
      </c>
      <c r="AR515" s="7">
        <f t="shared" si="92"/>
        <v>16001.591502102601</v>
      </c>
      <c r="AS515" s="7"/>
      <c r="AT515" s="7">
        <f t="shared" si="93"/>
        <v>469.63084644214894</v>
      </c>
      <c r="AU515" s="7">
        <f t="shared" si="94"/>
        <v>1126.6489062180044</v>
      </c>
      <c r="AV515" s="7"/>
      <c r="AX515" s="7">
        <f t="shared" si="95"/>
        <v>-35.750496477634236</v>
      </c>
      <c r="AY515" s="7">
        <f t="shared" si="96"/>
        <v>-2.5339689345540481</v>
      </c>
      <c r="BB515" s="7">
        <f t="shared" si="97"/>
        <v>-6.9854069002316344</v>
      </c>
      <c r="BC515" s="7">
        <f t="shared" si="98"/>
        <v>-0.26211285178016258</v>
      </c>
      <c r="BF515" s="7">
        <f t="shared" si="99"/>
        <v>-23.147047876997657</v>
      </c>
      <c r="BG515" s="7">
        <f t="shared" si="100"/>
        <v>-4.9508217600272868</v>
      </c>
      <c r="BI515" s="10">
        <f t="shared" si="101"/>
        <v>-65.882951254863528</v>
      </c>
      <c r="BJ515">
        <f t="shared" si="102"/>
        <v>-7.7469035463614979</v>
      </c>
    </row>
    <row r="516" spans="42:62" x14ac:dyDescent="0.25">
      <c r="AP516" s="1">
        <v>511</v>
      </c>
      <c r="AQ516" s="7">
        <f t="shared" si="91"/>
        <v>140171.26955134381</v>
      </c>
      <c r="AR516" s="7">
        <f t="shared" si="92"/>
        <v>16563.947592268309</v>
      </c>
      <c r="AS516" s="7"/>
      <c r="AT516" s="7">
        <f t="shared" si="93"/>
        <v>436.68937081471717</v>
      </c>
      <c r="AU516" s="7">
        <f t="shared" si="94"/>
        <v>1122.7754544448237</v>
      </c>
      <c r="AV516" s="7"/>
      <c r="AX516" s="7">
        <f t="shared" si="95"/>
        <v>-35.582107663048994</v>
      </c>
      <c r="AY516" s="7">
        <f t="shared" si="96"/>
        <v>-2.6837892308571201</v>
      </c>
      <c r="BB516" s="7">
        <f t="shared" si="97"/>
        <v>-6.9628880022752986</v>
      </c>
      <c r="BC516" s="7">
        <f t="shared" si="98"/>
        <v>-0.28534475668320874</v>
      </c>
      <c r="BF516" s="7">
        <f t="shared" si="99"/>
        <v>-23.025122705447036</v>
      </c>
      <c r="BG516" s="7">
        <f t="shared" si="100"/>
        <v>-5.0062506763656653</v>
      </c>
      <c r="BI516" s="10">
        <f t="shared" si="101"/>
        <v>-65.570118370771326</v>
      </c>
      <c r="BJ516">
        <f t="shared" si="102"/>
        <v>-7.9753846639059942</v>
      </c>
    </row>
    <row r="517" spans="42:62" x14ac:dyDescent="0.25">
      <c r="AP517" s="1">
        <v>512</v>
      </c>
      <c r="AQ517" s="7">
        <f t="shared" si="91"/>
        <v>140381.41797195483</v>
      </c>
      <c r="AR517" s="7">
        <f t="shared" si="92"/>
        <v>17124.338396407733</v>
      </c>
      <c r="AS517" s="7"/>
      <c r="AT517" s="7">
        <f t="shared" si="93"/>
        <v>403.90431162933152</v>
      </c>
      <c r="AU517" s="7">
        <f t="shared" si="94"/>
        <v>1118.7877621128707</v>
      </c>
      <c r="AV517" s="7"/>
      <c r="AX517" s="7">
        <f t="shared" si="95"/>
        <v>-35.42236852726267</v>
      </c>
      <c r="AY517" s="7">
        <f t="shared" si="96"/>
        <v>-2.8319724692731407</v>
      </c>
      <c r="BB517" s="7">
        <f t="shared" si="97"/>
        <v>-6.9416561994908514</v>
      </c>
      <c r="BC517" s="7">
        <f t="shared" si="98"/>
        <v>-0.30835684346762898</v>
      </c>
      <c r="BF517" s="7">
        <f t="shared" si="99"/>
        <v>-22.908339365695188</v>
      </c>
      <c r="BG517" s="7">
        <f t="shared" si="100"/>
        <v>-5.0619622242596671</v>
      </c>
      <c r="BI517" s="10">
        <f t="shared" si="101"/>
        <v>-65.272364092448711</v>
      </c>
      <c r="BJ517">
        <f t="shared" si="102"/>
        <v>-8.2022915370004377</v>
      </c>
    </row>
    <row r="518" spans="42:62" x14ac:dyDescent="0.25">
      <c r="AP518" s="1">
        <v>513</v>
      </c>
      <c r="AQ518" s="7">
        <f t="shared" ref="AQ518:AQ581" si="103">AQ517+(AT517*$R$7)+((1/2)*(BI517)*$R$7^2)</f>
        <v>140575.21108225791</v>
      </c>
      <c r="AR518" s="7">
        <f t="shared" ref="AR518:AR581" si="104">AR517+(AU517*$R$7)+((1/2)*(BJ517)*$R$7^2)</f>
        <v>17682.706991022045</v>
      </c>
      <c r="AS518" s="7"/>
      <c r="AT518" s="7">
        <f t="shared" ref="AT518:AT581" si="105">AT517+(BI517)*$R$7</f>
        <v>371.26812958310717</v>
      </c>
      <c r="AU518" s="7">
        <f t="shared" ref="AU518:AU581" si="106">AU517+(BJ517)*$R$7</f>
        <v>1114.6866163443706</v>
      </c>
      <c r="AV518" s="7"/>
      <c r="AX518" s="7">
        <f t="shared" ref="AX518:AX581" si="107">(($R$23-AQ518)/(($R$23-AQ518)^2+($S$23-AR518)^2+$R$28^2)^(3/2))*$R$27</f>
        <v>-35.271098979229578</v>
      </c>
      <c r="AY518" s="7">
        <f t="shared" ref="AY518:AY581" si="108">(($S$23-AR518)/(($R$23-AQ518)^2+($S$23-AR518)^2+$R$28^2)^(3/2))*$R$27</f>
        <v>-2.9786824583024063</v>
      </c>
      <c r="BB518" s="7">
        <f t="shared" ref="BB518:BB581" si="109">(($R$32-AQ518)/(($R$32-AQ518)^2+($S$32-AR518)^2+$R$37^2)^(3/2))*$R$36</f>
        <v>-6.921691181956751</v>
      </c>
      <c r="BC518" s="7">
        <f t="shared" ref="BC518:BC581" si="110">(($S$32-AR518)/(($R$32-AQ518)^2+($S$32-AR518)^2+$R$37^2)^(3/2))*$R$36</f>
        <v>-0.33116771184609323</v>
      </c>
      <c r="BF518" s="7">
        <f t="shared" ref="BF518:BF581" si="111">(($R$41-AQ518)/(($R$41-AQ518)^2+($S$41-AR518)^2+$R$46^2)^(3/2))*$R$45</f>
        <v>-22.796573308714649</v>
      </c>
      <c r="BG518" s="7">
        <f t="shared" ref="BG518:BG581" si="112">(($S$41-AR518)/(($R$41-AQ518)^2+($S$41-AR518)^2+$R$46^2)^(3/2))*$R$45</f>
        <v>-5.1179985954276175</v>
      </c>
      <c r="BI518" s="10">
        <f t="shared" ref="BI518:BI581" si="113">BF518+BB518+AX518</f>
        <v>-64.989363469900979</v>
      </c>
      <c r="BJ518">
        <f t="shared" ref="BJ518:BJ581" si="114">BG518+BC518+AY518</f>
        <v>-8.4278487655761172</v>
      </c>
    </row>
    <row r="519" spans="42:62" x14ac:dyDescent="0.25">
      <c r="AP519" s="1">
        <v>514</v>
      </c>
      <c r="AQ519" s="7">
        <f t="shared" si="103"/>
        <v>140752.72147661573</v>
      </c>
      <c r="AR519" s="7">
        <f t="shared" si="104"/>
        <v>18238.996818098534</v>
      </c>
      <c r="AS519" s="7"/>
      <c r="AT519" s="7">
        <f t="shared" si="105"/>
        <v>338.77344784815671</v>
      </c>
      <c r="AU519" s="7">
        <f t="shared" si="106"/>
        <v>1110.4726919615825</v>
      </c>
      <c r="AV519" s="7"/>
      <c r="AX519" s="7">
        <f t="shared" si="107"/>
        <v>-35.128130364500237</v>
      </c>
      <c r="AY519" s="7">
        <f t="shared" si="108"/>
        <v>-3.1240776654725155</v>
      </c>
      <c r="BB519" s="7">
        <f t="shared" si="109"/>
        <v>-6.902974045658012</v>
      </c>
      <c r="BC519" s="7">
        <f t="shared" si="110"/>
        <v>-0.35379544853221273</v>
      </c>
      <c r="BF519" s="7">
        <f t="shared" si="111"/>
        <v>-22.689706901312512</v>
      </c>
      <c r="BG519" s="7">
        <f t="shared" si="112"/>
        <v>-5.174401464725408</v>
      </c>
      <c r="BI519" s="10">
        <f t="shared" si="113"/>
        <v>-64.720811311470754</v>
      </c>
      <c r="BJ519">
        <f t="shared" si="114"/>
        <v>-8.6522745787301361</v>
      </c>
    </row>
    <row r="520" spans="42:62" x14ac:dyDescent="0.25">
      <c r="AP520" s="1">
        <v>515</v>
      </c>
      <c r="AQ520" s="7">
        <f t="shared" si="103"/>
        <v>140914.01809912588</v>
      </c>
      <c r="AR520" s="7">
        <f t="shared" si="104"/>
        <v>18793.151629756987</v>
      </c>
      <c r="AS520" s="7"/>
      <c r="AT520" s="7">
        <f t="shared" si="105"/>
        <v>306.41304219242136</v>
      </c>
      <c r="AU520" s="7">
        <f t="shared" si="106"/>
        <v>1106.1465546722175</v>
      </c>
      <c r="AV520" s="7"/>
      <c r="AX520" s="7">
        <f t="shared" si="107"/>
        <v>-34.993305005754834</v>
      </c>
      <c r="AY520" s="7">
        <f t="shared" si="108"/>
        <v>-3.2683116951117217</v>
      </c>
      <c r="BB520" s="7">
        <f t="shared" si="109"/>
        <v>-6.8854872459910492</v>
      </c>
      <c r="BC520" s="7">
        <f t="shared" si="110"/>
        <v>-0.37625766924457926</v>
      </c>
      <c r="BF520" s="7">
        <f t="shared" si="111"/>
        <v>-22.587629102924311</v>
      </c>
      <c r="BG520" s="7">
        <f t="shared" si="112"/>
        <v>-5.2312120876095989</v>
      </c>
      <c r="BI520" s="10">
        <f t="shared" si="113"/>
        <v>-64.466421354670189</v>
      </c>
      <c r="BJ520">
        <f t="shared" si="114"/>
        <v>-8.8757814519658993</v>
      </c>
    </row>
    <row r="521" spans="42:62" x14ac:dyDescent="0.25">
      <c r="AP521" s="1">
        <v>516</v>
      </c>
      <c r="AQ521" s="7">
        <f t="shared" si="103"/>
        <v>141059.16631755276</v>
      </c>
      <c r="AR521" s="7">
        <f t="shared" si="104"/>
        <v>19345.1154344116</v>
      </c>
      <c r="AS521" s="7"/>
      <c r="AT521" s="7">
        <f t="shared" si="105"/>
        <v>274.17983151508628</v>
      </c>
      <c r="AU521" s="7">
        <f t="shared" si="106"/>
        <v>1101.7086639462345</v>
      </c>
      <c r="AV521" s="7"/>
      <c r="AX521" s="7">
        <f t="shared" si="107"/>
        <v>-34.866475778495342</v>
      </c>
      <c r="AY521" s="7">
        <f t="shared" si="108"/>
        <v>-3.4115337396595926</v>
      </c>
      <c r="BB521" s="7">
        <f t="shared" si="109"/>
        <v>-6.8692145550918555</v>
      </c>
      <c r="BC521" s="7">
        <f t="shared" si="110"/>
        <v>-0.39857155869356864</v>
      </c>
      <c r="BF521" s="7">
        <f t="shared" si="111"/>
        <v>-22.490235165290947</v>
      </c>
      <c r="BG521" s="7">
        <f t="shared" si="112"/>
        <v>-5.2884713939802444</v>
      </c>
      <c r="BI521" s="10">
        <f t="shared" si="113"/>
        <v>-64.225925498878141</v>
      </c>
      <c r="BJ521">
        <f t="shared" si="114"/>
        <v>-9.0985766923334062</v>
      </c>
    </row>
    <row r="522" spans="42:62" x14ac:dyDescent="0.25">
      <c r="AP522" s="1">
        <v>517</v>
      </c>
      <c r="AQ522" s="7">
        <f t="shared" si="103"/>
        <v>141188.22799262294</v>
      </c>
      <c r="AR522" s="7">
        <f t="shared" si="104"/>
        <v>19894.832444298176</v>
      </c>
      <c r="AS522" s="7"/>
      <c r="AT522" s="7">
        <f t="shared" si="105"/>
        <v>242.0668687656472</v>
      </c>
      <c r="AU522" s="7">
        <f t="shared" si="106"/>
        <v>1097.1593756000677</v>
      </c>
      <c r="AV522" s="7"/>
      <c r="AX522" s="7">
        <f t="shared" si="107"/>
        <v>-34.747505719810029</v>
      </c>
      <c r="AY522" s="7">
        <f t="shared" si="108"/>
        <v>-3.5538890071117724</v>
      </c>
      <c r="BB522" s="7">
        <f t="shared" si="109"/>
        <v>-6.8541410227891255</v>
      </c>
      <c r="BC522" s="7">
        <f t="shared" si="110"/>
        <v>-0.42075390873577223</v>
      </c>
      <c r="BF522" s="7">
        <f t="shared" si="111"/>
        <v>-22.397426353451284</v>
      </c>
      <c r="BG522" s="7">
        <f t="shared" si="112"/>
        <v>-5.3462200788604557</v>
      </c>
      <c r="BI522" s="10">
        <f t="shared" si="113"/>
        <v>-63.999073096050438</v>
      </c>
      <c r="BJ522">
        <f t="shared" si="114"/>
        <v>-9.3208629947080013</v>
      </c>
    </row>
    <row r="523" spans="42:62" x14ac:dyDescent="0.25">
      <c r="AP523" s="1">
        <v>518</v>
      </c>
      <c r="AQ523" s="7">
        <f t="shared" si="103"/>
        <v>141301.26154286874</v>
      </c>
      <c r="AR523" s="7">
        <f t="shared" si="104"/>
        <v>20442.247024223871</v>
      </c>
      <c r="AS523" s="7"/>
      <c r="AT523" s="7">
        <f t="shared" si="105"/>
        <v>210.06733221762198</v>
      </c>
      <c r="AU523" s="7">
        <f t="shared" si="106"/>
        <v>1092.4989441027137</v>
      </c>
      <c r="AV523" s="7"/>
      <c r="AX523" s="7">
        <f t="shared" si="107"/>
        <v>-34.63626766831684</v>
      </c>
      <c r="AY523" s="7">
        <f t="shared" si="108"/>
        <v>-3.6955191269966541</v>
      </c>
      <c r="BB523" s="7">
        <f t="shared" si="109"/>
        <v>-6.8402529410025608</v>
      </c>
      <c r="BC523" s="7">
        <f t="shared" si="110"/>
        <v>-0.44282115486827345</v>
      </c>
      <c r="BF523" s="7">
        <f t="shared" si="111"/>
        <v>-22.309109686617099</v>
      </c>
      <c r="BG523" s="7">
        <f t="shared" si="112"/>
        <v>-5.4044986903404437</v>
      </c>
      <c r="BI523" s="10">
        <f t="shared" si="113"/>
        <v>-63.7856302959365</v>
      </c>
      <c r="BJ523">
        <f t="shared" si="114"/>
        <v>-9.5428389722053701</v>
      </c>
    </row>
    <row r="524" spans="42:62" x14ac:dyDescent="0.25">
      <c r="AP524" s="1">
        <v>519</v>
      </c>
      <c r="AQ524" s="7">
        <f t="shared" si="103"/>
        <v>141398.32200519057</v>
      </c>
      <c r="AR524" s="7">
        <f t="shared" si="104"/>
        <v>20987.303641403701</v>
      </c>
      <c r="AS524" s="7"/>
      <c r="AT524" s="7">
        <f t="shared" si="105"/>
        <v>178.17451706965375</v>
      </c>
      <c r="AU524" s="7">
        <f t="shared" si="106"/>
        <v>1087.7275246166109</v>
      </c>
      <c r="AV524" s="7"/>
      <c r="AX524" s="7">
        <f t="shared" si="107"/>
        <v>-34.532643933568458</v>
      </c>
      <c r="AY524" s="7">
        <f t="shared" si="108"/>
        <v>-3.8365625371049319</v>
      </c>
      <c r="BB524" s="7">
        <f t="shared" si="109"/>
        <v>-6.8275378114228653</v>
      </c>
      <c r="BC524" s="7">
        <f t="shared" si="110"/>
        <v>-0.46478941122358997</v>
      </c>
      <c r="BF524" s="7">
        <f t="shared" si="111"/>
        <v>-22.22519769762415</v>
      </c>
      <c r="BG524" s="7">
        <f t="shared" si="112"/>
        <v>-5.4633477151894478</v>
      </c>
      <c r="BI524" s="10">
        <f t="shared" si="113"/>
        <v>-63.585379442615476</v>
      </c>
      <c r="BJ524">
        <f t="shared" si="114"/>
        <v>-9.7646996635179697</v>
      </c>
    </row>
    <row r="525" spans="42:62" x14ac:dyDescent="0.25">
      <c r="AP525" s="1">
        <v>520</v>
      </c>
      <c r="AQ525" s="7">
        <f t="shared" si="103"/>
        <v>141479.46109129506</v>
      </c>
      <c r="AR525" s="7">
        <f t="shared" si="104"/>
        <v>21529.946816254065</v>
      </c>
      <c r="AS525" s="7"/>
      <c r="AT525" s="7">
        <f t="shared" si="105"/>
        <v>146.38182734834601</v>
      </c>
      <c r="AU525" s="7">
        <f t="shared" si="106"/>
        <v>1082.8451747848519</v>
      </c>
      <c r="AV525" s="7"/>
      <c r="AX525" s="7">
        <f t="shared" si="107"/>
        <v>-34.436525993351879</v>
      </c>
      <c r="AY525" s="7">
        <f t="shared" si="108"/>
        <v>-3.9771548530346461</v>
      </c>
      <c r="BB525" s="7">
        <f t="shared" si="109"/>
        <v>-6.815984316329244</v>
      </c>
      <c r="BC525" s="7">
        <f t="shared" si="110"/>
        <v>-0.48667450421615555</v>
      </c>
      <c r="BF525" s="7">
        <f t="shared" si="111"/>
        <v>-22.145608209764749</v>
      </c>
      <c r="BG525" s="7">
        <f t="shared" si="112"/>
        <v>-5.5228076625165938</v>
      </c>
      <c r="BI525" s="10">
        <f t="shared" si="113"/>
        <v>-63.398118519445873</v>
      </c>
      <c r="BJ525">
        <f t="shared" si="114"/>
        <v>-9.9866370197673966</v>
      </c>
    </row>
    <row r="526" spans="42:62" x14ac:dyDescent="0.25">
      <c r="AP526" s="1">
        <v>521</v>
      </c>
      <c r="AQ526" s="7">
        <f t="shared" si="103"/>
        <v>141544.72724015429</v>
      </c>
      <c r="AR526" s="7">
        <f t="shared" si="104"/>
        <v>22070.121074019022</v>
      </c>
      <c r="AS526" s="7"/>
      <c r="AT526" s="7">
        <f t="shared" si="105"/>
        <v>114.68276808862308</v>
      </c>
      <c r="AU526" s="7">
        <f t="shared" si="106"/>
        <v>1077.8518562749682</v>
      </c>
      <c r="AV526" s="7"/>
      <c r="AX526" s="7">
        <f t="shared" si="107"/>
        <v>-34.347814217473655</v>
      </c>
      <c r="AY526" s="7">
        <f t="shared" si="108"/>
        <v>-4.1174292224761402</v>
      </c>
      <c r="BB526" s="7">
        <f t="shared" si="109"/>
        <v>-6.8055822924134359</v>
      </c>
      <c r="BC526" s="7">
        <f t="shared" si="110"/>
        <v>-0.50849200498208491</v>
      </c>
      <c r="BF526" s="7">
        <f t="shared" si="111"/>
        <v>-22.070264129912186</v>
      </c>
      <c r="BG526" s="7">
        <f t="shared" si="112"/>
        <v>-5.5829191458431788</v>
      </c>
      <c r="BI526" s="10">
        <f t="shared" si="113"/>
        <v>-63.223660639799277</v>
      </c>
      <c r="BJ526">
        <f t="shared" si="114"/>
        <v>-10.208840373301404</v>
      </c>
    </row>
    <row r="527" spans="42:62" x14ac:dyDescent="0.25">
      <c r="AP527" s="1">
        <v>522</v>
      </c>
      <c r="AQ527" s="7">
        <f t="shared" si="103"/>
        <v>141594.16566661865</v>
      </c>
      <c r="AR527" s="7">
        <f t="shared" si="104"/>
        <v>22607.770897109844</v>
      </c>
      <c r="AS527" s="7"/>
      <c r="AT527" s="7">
        <f t="shared" si="105"/>
        <v>83.070937768723439</v>
      </c>
      <c r="AU527" s="7">
        <f t="shared" si="106"/>
        <v>1072.7474360883175</v>
      </c>
      <c r="AV527" s="7"/>
      <c r="AX527" s="7">
        <f t="shared" si="107"/>
        <v>-34.266417616753536</v>
      </c>
      <c r="AY527" s="7">
        <f t="shared" si="108"/>
        <v>-4.2575166660378896</v>
      </c>
      <c r="BB527" s="7">
        <f t="shared" si="109"/>
        <v>-6.7963227074949017</v>
      </c>
      <c r="BC527" s="7">
        <f t="shared" si="110"/>
        <v>-0.53025726074602764</v>
      </c>
      <c r="BF527" s="7">
        <f t="shared" si="111"/>
        <v>-21.999093256941855</v>
      </c>
      <c r="BG527" s="7">
        <f t="shared" si="112"/>
        <v>-5.6437229639325164</v>
      </c>
      <c r="BI527" s="10">
        <f t="shared" si="113"/>
        <v>-63.061833581190292</v>
      </c>
      <c r="BJ527">
        <f t="shared" si="114"/>
        <v>-10.431496890716435</v>
      </c>
    </row>
    <row r="528" spans="42:62" x14ac:dyDescent="0.25">
      <c r="AP528" s="1">
        <v>523</v>
      </c>
      <c r="AQ528" s="7">
        <f t="shared" si="103"/>
        <v>141627.81840630536</v>
      </c>
      <c r="AR528" s="7">
        <f t="shared" si="104"/>
        <v>23142.840678042663</v>
      </c>
      <c r="AS528" s="7"/>
      <c r="AT528" s="7">
        <f t="shared" si="105"/>
        <v>51.540020978128297</v>
      </c>
      <c r="AU528" s="7">
        <f t="shared" si="106"/>
        <v>1067.5316876429592</v>
      </c>
      <c r="AV528" s="7"/>
      <c r="AX528" s="7">
        <f t="shared" si="107"/>
        <v>-34.192253616077871</v>
      </c>
      <c r="AY528" s="7">
        <f t="shared" si="108"/>
        <v>-4.3975464063063887</v>
      </c>
      <c r="BB528" s="7">
        <f t="shared" si="109"/>
        <v>-6.7881976400254223</v>
      </c>
      <c r="BC528" s="7">
        <f t="shared" si="110"/>
        <v>-0.55198542524186467</v>
      </c>
      <c r="BF528" s="7">
        <f t="shared" si="111"/>
        <v>-21.932028104540173</v>
      </c>
      <c r="BG528" s="7">
        <f t="shared" si="112"/>
        <v>-5.7052601807097201</v>
      </c>
      <c r="BI528" s="10">
        <f t="shared" si="113"/>
        <v>-62.912479360643466</v>
      </c>
      <c r="BJ528">
        <f t="shared" si="114"/>
        <v>-10.654792012257975</v>
      </c>
    </row>
    <row r="529" spans="42:62" x14ac:dyDescent="0.25">
      <c r="AP529" s="1">
        <v>524</v>
      </c>
      <c r="AQ529" s="7">
        <f t="shared" si="103"/>
        <v>141645.72435687436</v>
      </c>
      <c r="AR529" s="7">
        <f t="shared" si="104"/>
        <v>23675.274672862608</v>
      </c>
      <c r="AS529" s="7"/>
      <c r="AT529" s="7">
        <f t="shared" si="105"/>
        <v>20.083781297806564</v>
      </c>
      <c r="AU529" s="7">
        <f t="shared" si="106"/>
        <v>1062.2042916368302</v>
      </c>
      <c r="AV529" s="7"/>
      <c r="AX529" s="7">
        <f t="shared" si="107"/>
        <v>-34.125247850491817</v>
      </c>
      <c r="AY529" s="7">
        <f t="shared" si="108"/>
        <v>-4.5376461867401927</v>
      </c>
      <c r="BB529" s="7">
        <f t="shared" si="109"/>
        <v>-6.781200261293991</v>
      </c>
      <c r="BC529" s="7">
        <f t="shared" si="110"/>
        <v>-0.57369148830777128</v>
      </c>
      <c r="BF529" s="7">
        <f t="shared" si="111"/>
        <v>-21.869005737576082</v>
      </c>
      <c r="BG529" s="7">
        <f t="shared" si="112"/>
        <v>-5.7675722045933284</v>
      </c>
      <c r="BI529" s="10">
        <f t="shared" si="113"/>
        <v>-62.775453849361888</v>
      </c>
      <c r="BJ529">
        <f t="shared" si="114"/>
        <v>-10.878909879641292</v>
      </c>
    </row>
    <row r="530" spans="42:62" x14ac:dyDescent="0.25">
      <c r="AP530" s="1">
        <v>525</v>
      </c>
      <c r="AQ530" s="7">
        <f t="shared" si="103"/>
        <v>141647.91931579207</v>
      </c>
      <c r="AR530" s="7">
        <f t="shared" si="104"/>
        <v>24205.016954946066</v>
      </c>
      <c r="AS530" s="7"/>
      <c r="AT530" s="7">
        <f t="shared" si="105"/>
        <v>-11.303945626874381</v>
      </c>
      <c r="AU530" s="7">
        <f t="shared" si="106"/>
        <v>1056.7648366970095</v>
      </c>
      <c r="AV530" s="7"/>
      <c r="AX530" s="7">
        <f t="shared" si="107"/>
        <v>-34.065333983412046</v>
      </c>
      <c r="AY530" s="7">
        <f t="shared" si="108"/>
        <v>-4.6779425819157776</v>
      </c>
      <c r="BB530" s="7">
        <f t="shared" si="109"/>
        <v>-6.7753248202562482</v>
      </c>
      <c r="BC530" s="7">
        <f t="shared" si="110"/>
        <v>-0.59539030477087285</v>
      </c>
      <c r="BF530" s="7">
        <f t="shared" si="111"/>
        <v>-21.809967621279281</v>
      </c>
      <c r="BG530" s="7">
        <f t="shared" si="112"/>
        <v>-5.8307008675505987</v>
      </c>
      <c r="BI530" s="10">
        <f t="shared" si="113"/>
        <v>-62.650626424947575</v>
      </c>
      <c r="BJ530">
        <f t="shared" si="114"/>
        <v>-11.10403375423725</v>
      </c>
    </row>
    <row r="531" spans="42:62" x14ac:dyDescent="0.25">
      <c r="AP531" s="1">
        <v>526</v>
      </c>
      <c r="AQ531" s="7">
        <f t="shared" si="103"/>
        <v>141634.43601467551</v>
      </c>
      <c r="AR531" s="7">
        <f t="shared" si="104"/>
        <v>24732.011369075291</v>
      </c>
      <c r="AS531" s="7"/>
      <c r="AT531" s="7">
        <f t="shared" si="105"/>
        <v>-42.629258839348168</v>
      </c>
      <c r="AU531" s="7">
        <f t="shared" si="106"/>
        <v>1051.2128198198909</v>
      </c>
      <c r="AV531" s="7"/>
      <c r="AX531" s="7">
        <f t="shared" si="107"/>
        <v>-34.012453546158312</v>
      </c>
      <c r="AY531" s="7">
        <f t="shared" si="108"/>
        <v>-4.8185613005747028</v>
      </c>
      <c r="BB531" s="7">
        <f t="shared" si="109"/>
        <v>-6.7705666309233443</v>
      </c>
      <c r="BC531" s="7">
        <f t="shared" si="110"/>
        <v>-0.61709662273197952</v>
      </c>
      <c r="BF531" s="7">
        <f t="shared" si="111"/>
        <v>-21.754859482541072</v>
      </c>
      <c r="BG531" s="7">
        <f t="shared" si="112"/>
        <v>-5.8946885041822634</v>
      </c>
      <c r="BI531" s="10">
        <f t="shared" si="113"/>
        <v>-62.537879659622732</v>
      </c>
      <c r="BJ531">
        <f t="shared" si="114"/>
        <v>-11.330346427488946</v>
      </c>
    </row>
    <row r="532" spans="42:62" x14ac:dyDescent="0.25">
      <c r="AP532" s="1">
        <v>527</v>
      </c>
      <c r="AQ532" s="7">
        <f t="shared" si="103"/>
        <v>141605.30415029838</v>
      </c>
      <c r="AR532" s="7">
        <f t="shared" si="104"/>
        <v>25256.201485681802</v>
      </c>
      <c r="AS532" s="7"/>
      <c r="AT532" s="7">
        <f t="shared" si="105"/>
        <v>-73.898198669159541</v>
      </c>
      <c r="AU532" s="7">
        <f t="shared" si="106"/>
        <v>1045.5476466061464</v>
      </c>
      <c r="AV532" s="7"/>
      <c r="AX532" s="7">
        <f t="shared" si="107"/>
        <v>-33.966555798096564</v>
      </c>
      <c r="AY532" s="7">
        <f t="shared" si="108"/>
        <v>-4.9596274828623601</v>
      </c>
      <c r="BB532" s="7">
        <f t="shared" si="109"/>
        <v>-6.7669220622565733</v>
      </c>
      <c r="BC532" s="7">
        <f t="shared" si="110"/>
        <v>-0.63882511135697206</v>
      </c>
      <c r="BF532" s="7">
        <f t="shared" si="111"/>
        <v>-21.703631182714105</v>
      </c>
      <c r="BG532" s="7">
        <f t="shared" si="112"/>
        <v>-5.9595780311369246</v>
      </c>
      <c r="BI532" s="10">
        <f t="shared" si="113"/>
        <v>-62.437109043067238</v>
      </c>
      <c r="BJ532">
        <f t="shared" si="114"/>
        <v>-11.558030625356256</v>
      </c>
    </row>
    <row r="533" spans="42:62" x14ac:dyDescent="0.25">
      <c r="AP533" s="1">
        <v>528</v>
      </c>
      <c r="AQ533" s="7">
        <f t="shared" si="103"/>
        <v>141560.55041233342</v>
      </c>
      <c r="AR533" s="7">
        <f t="shared" si="104"/>
        <v>25777.530555156703</v>
      </c>
      <c r="AS533" s="7"/>
      <c r="AT533" s="7">
        <f t="shared" si="105"/>
        <v>-105.11675319069316</v>
      </c>
      <c r="AU533" s="7">
        <f t="shared" si="106"/>
        <v>1039.7686312934682</v>
      </c>
      <c r="AV533" s="7"/>
      <c r="AX533" s="7">
        <f t="shared" si="107"/>
        <v>-33.927597606789163</v>
      </c>
      <c r="AY533" s="7">
        <f t="shared" si="108"/>
        <v>-5.1012659931016096</v>
      </c>
      <c r="BB533" s="7">
        <f t="shared" si="109"/>
        <v>-6.7643885305272322</v>
      </c>
      <c r="BC533" s="7">
        <f t="shared" si="110"/>
        <v>-0.66059038827833572</v>
      </c>
      <c r="BF533" s="7">
        <f t="shared" si="111"/>
        <v>-21.656236601349157</v>
      </c>
      <c r="BG533" s="7">
        <f t="shared" si="112"/>
        <v>-6.0254130271532071</v>
      </c>
      <c r="BI533" s="10">
        <f t="shared" si="113"/>
        <v>-62.348222738665555</v>
      </c>
      <c r="BJ533">
        <f t="shared" si="114"/>
        <v>-11.787269408533152</v>
      </c>
    </row>
    <row r="534" spans="42:62" x14ac:dyDescent="0.25">
      <c r="AP534" s="1">
        <v>529</v>
      </c>
      <c r="AQ534" s="7">
        <f t="shared" si="103"/>
        <v>141500.19850789575</v>
      </c>
      <c r="AR534" s="7">
        <f t="shared" si="104"/>
        <v>26295.941462127372</v>
      </c>
      <c r="AS534" s="7"/>
      <c r="AT534" s="7">
        <f t="shared" si="105"/>
        <v>-136.29086456002594</v>
      </c>
      <c r="AU534" s="7">
        <f t="shared" si="106"/>
        <v>1033.8749965892016</v>
      </c>
      <c r="AV534" s="7"/>
      <c r="AX534" s="7">
        <f t="shared" si="107"/>
        <v>-33.895543347636227</v>
      </c>
      <c r="AY534" s="7">
        <f t="shared" si="108"/>
        <v>-5.2436017094060077</v>
      </c>
      <c r="BB534" s="7">
        <f t="shared" si="109"/>
        <v>-6.7629644941080134</v>
      </c>
      <c r="BC534" s="7">
        <f t="shared" si="110"/>
        <v>-0.68240704670738794</v>
      </c>
      <c r="BF534" s="7">
        <f t="shared" si="111"/>
        <v>-21.612633530357584</v>
      </c>
      <c r="BG534" s="7">
        <f t="shared" si="112"/>
        <v>-6.0922378140255926</v>
      </c>
      <c r="BI534" s="10">
        <f t="shared" si="113"/>
        <v>-62.271141372101823</v>
      </c>
      <c r="BJ534">
        <f t="shared" si="114"/>
        <v>-12.018246570138988</v>
      </c>
    </row>
    <row r="535" spans="42:62" x14ac:dyDescent="0.25">
      <c r="AP535" s="1">
        <v>530</v>
      </c>
      <c r="AQ535" s="7">
        <f t="shared" si="103"/>
        <v>141424.2691829442</v>
      </c>
      <c r="AR535" s="7">
        <f t="shared" si="104"/>
        <v>26811.376679600704</v>
      </c>
      <c r="AS535" s="7"/>
      <c r="AT535" s="7">
        <f t="shared" si="105"/>
        <v>-167.42643524607684</v>
      </c>
      <c r="AU535" s="7">
        <f t="shared" si="106"/>
        <v>1027.865873304132</v>
      </c>
      <c r="AV535" s="7"/>
      <c r="AX535" s="7">
        <f t="shared" si="107"/>
        <v>-33.870364822579496</v>
      </c>
      <c r="AY535" s="7">
        <f t="shared" si="108"/>
        <v>-5.3867598114084849</v>
      </c>
      <c r="BB535" s="7">
        <f t="shared" si="109"/>
        <v>-6.7626494506769932</v>
      </c>
      <c r="BC535" s="7">
        <f t="shared" si="110"/>
        <v>-0.70428968235612699</v>
      </c>
      <c r="BF535" s="7">
        <f t="shared" si="111"/>
        <v>-21.572783578143291</v>
      </c>
      <c r="BG535" s="7">
        <f t="shared" si="112"/>
        <v>-6.1600975387918737</v>
      </c>
      <c r="BI535" s="10">
        <f t="shared" si="113"/>
        <v>-62.20579785139978</v>
      </c>
      <c r="BJ535">
        <f t="shared" si="114"/>
        <v>-12.251147032556485</v>
      </c>
    </row>
    <row r="536" spans="42:62" x14ac:dyDescent="0.25">
      <c r="AP536" s="1">
        <v>531</v>
      </c>
      <c r="AQ536" s="7">
        <f t="shared" si="103"/>
        <v>141332.78024058975</v>
      </c>
      <c r="AR536" s="7">
        <f t="shared" si="104"/>
        <v>27323.778222873698</v>
      </c>
      <c r="AS536" s="7"/>
      <c r="AT536" s="7">
        <f t="shared" si="105"/>
        <v>-198.52933417177672</v>
      </c>
      <c r="AU536" s="7">
        <f t="shared" si="106"/>
        <v>1021.7402997878538</v>
      </c>
      <c r="AV536" s="7"/>
      <c r="AX536" s="7">
        <f t="shared" si="107"/>
        <v>-33.852041197535655</v>
      </c>
      <c r="AY536" s="7">
        <f t="shared" si="108"/>
        <v>-5.5308660673633359</v>
      </c>
      <c r="BB536" s="7">
        <f t="shared" si="109"/>
        <v>-6.7634439368229335</v>
      </c>
      <c r="BC536" s="7">
        <f t="shared" si="110"/>
        <v>-0.72625292026599497</v>
      </c>
      <c r="BF536" s="7">
        <f t="shared" si="111"/>
        <v>-21.536652083291767</v>
      </c>
      <c r="BG536" s="7">
        <f t="shared" si="112"/>
        <v>-6.2290382574416254</v>
      </c>
      <c r="BI536" s="10">
        <f t="shared" si="113"/>
        <v>-62.152137217650356</v>
      </c>
      <c r="BJ536">
        <f t="shared" si="114"/>
        <v>-12.486157245070956</v>
      </c>
    </row>
    <row r="537" spans="42:62" x14ac:dyDescent="0.25">
      <c r="AP537" s="1">
        <v>532</v>
      </c>
      <c r="AQ537" s="7">
        <f t="shared" si="103"/>
        <v>141225.74655635166</v>
      </c>
      <c r="AR537" s="7">
        <f t="shared" si="104"/>
        <v>27833.087603111991</v>
      </c>
      <c r="AS537" s="7"/>
      <c r="AT537" s="7">
        <f t="shared" si="105"/>
        <v>-229.60540278060191</v>
      </c>
      <c r="AU537" s="7">
        <f t="shared" si="106"/>
        <v>1015.4972211653184</v>
      </c>
      <c r="AV537" s="7"/>
      <c r="AX537" s="7">
        <f t="shared" si="107"/>
        <v>-33.840558958295766</v>
      </c>
      <c r="AY537" s="7">
        <f t="shared" si="108"/>
        <v>-5.676047121866552</v>
      </c>
      <c r="BB537" s="7">
        <f t="shared" si="109"/>
        <v>-6.7653495300509823</v>
      </c>
      <c r="BC537" s="7">
        <f t="shared" si="110"/>
        <v>-0.74831144164001817</v>
      </c>
      <c r="BF537" s="7">
        <f t="shared" si="111"/>
        <v>-21.504208037450855</v>
      </c>
      <c r="BG537" s="7">
        <f t="shared" si="112"/>
        <v>-6.2991070204501387</v>
      </c>
      <c r="BI537" s="10">
        <f t="shared" si="113"/>
        <v>-62.110116525797608</v>
      </c>
      <c r="BJ537">
        <f t="shared" si="114"/>
        <v>-12.72346558395671</v>
      </c>
    </row>
    <row r="538" spans="42:62" x14ac:dyDescent="0.25">
      <c r="AP538" s="1">
        <v>533</v>
      </c>
      <c r="AQ538" s="7">
        <f t="shared" si="103"/>
        <v>141103.18009039565</v>
      </c>
      <c r="AR538" s="7">
        <f t="shared" si="104"/>
        <v>28339.245780496654</v>
      </c>
      <c r="AS538" s="7"/>
      <c r="AT538" s="7">
        <f t="shared" si="105"/>
        <v>-260.66046104350073</v>
      </c>
      <c r="AU538" s="7">
        <f t="shared" si="106"/>
        <v>1009.13548837334</v>
      </c>
      <c r="AV538" s="7"/>
      <c r="AX538" s="7">
        <f t="shared" si="107"/>
        <v>-33.835911884725057</v>
      </c>
      <c r="AY538" s="7">
        <f t="shared" si="108"/>
        <v>-5.8224307854400754</v>
      </c>
      <c r="BB538" s="7">
        <f t="shared" si="109"/>
        <v>-6.7683688532003119</v>
      </c>
      <c r="BC538" s="7">
        <f t="shared" si="110"/>
        <v>-0.77048001077477657</v>
      </c>
      <c r="BF538" s="7">
        <f t="shared" si="111"/>
        <v>-21.475424017081149</v>
      </c>
      <c r="BG538" s="7">
        <f t="shared" si="112"/>
        <v>-6.3703519604488328</v>
      </c>
      <c r="BI538" s="10">
        <f t="shared" si="113"/>
        <v>-62.079704755006517</v>
      </c>
      <c r="BJ538">
        <f t="shared" si="114"/>
        <v>-12.963262756663685</v>
      </c>
    </row>
    <row r="539" spans="42:62" x14ac:dyDescent="0.25">
      <c r="AP539" s="1">
        <v>534</v>
      </c>
      <c r="AQ539" s="7">
        <f t="shared" si="103"/>
        <v>140965.08989677954</v>
      </c>
      <c r="AR539" s="7">
        <f t="shared" si="104"/>
        <v>28842.193116838738</v>
      </c>
      <c r="AS539" s="7"/>
      <c r="AT539" s="7">
        <f t="shared" si="105"/>
        <v>-291.70031342100401</v>
      </c>
      <c r="AU539" s="7">
        <f t="shared" si="106"/>
        <v>1002.6538569950081</v>
      </c>
      <c r="AV539" s="7"/>
      <c r="AX539" s="7">
        <f t="shared" si="107"/>
        <v>-33.838101043167448</v>
      </c>
      <c r="AY539" s="7">
        <f t="shared" si="108"/>
        <v>-5.9701463272306361</v>
      </c>
      <c r="BB539" s="7">
        <f t="shared" si="109"/>
        <v>-6.7725055812928661</v>
      </c>
      <c r="BC539" s="7">
        <f t="shared" si="110"/>
        <v>-0.79277350218869702</v>
      </c>
      <c r="BF539" s="7">
        <f t="shared" si="111"/>
        <v>-21.450276123790033</v>
      </c>
      <c r="BG539" s="7">
        <f t="shared" si="112"/>
        <v>-6.4428223823501138</v>
      </c>
      <c r="BI539" s="10">
        <f t="shared" si="113"/>
        <v>-62.06088274825035</v>
      </c>
      <c r="BJ539">
        <f t="shared" si="114"/>
        <v>-13.205742211769447</v>
      </c>
    </row>
    <row r="540" spans="42:62" x14ac:dyDescent="0.25">
      <c r="AP540" s="1">
        <v>535</v>
      </c>
      <c r="AQ540" s="7">
        <f t="shared" si="103"/>
        <v>140811.48212972548</v>
      </c>
      <c r="AR540" s="7">
        <f t="shared" si="104"/>
        <v>29341.869327559769</v>
      </c>
      <c r="AS540" s="7"/>
      <c r="AT540" s="7">
        <f t="shared" si="105"/>
        <v>-322.7307547951292</v>
      </c>
      <c r="AU540" s="7">
        <f t="shared" si="106"/>
        <v>996.05098588912347</v>
      </c>
      <c r="AV540" s="7"/>
      <c r="AX540" s="7">
        <f t="shared" si="107"/>
        <v>-33.84713479704461</v>
      </c>
      <c r="AY540" s="7">
        <f t="shared" si="108"/>
        <v>-6.1193247720901001</v>
      </c>
      <c r="BB540" s="7">
        <f t="shared" si="109"/>
        <v>-6.7777644508452894</v>
      </c>
      <c r="BC540" s="7">
        <f t="shared" si="110"/>
        <v>-0.81520692804433192</v>
      </c>
      <c r="BF540" s="7">
        <f t="shared" si="111"/>
        <v>-21.428743933008295</v>
      </c>
      <c r="BG540" s="7">
        <f t="shared" si="112"/>
        <v>-6.5165688562566562</v>
      </c>
      <c r="BI540" s="10">
        <f t="shared" si="113"/>
        <v>-62.053643180898192</v>
      </c>
      <c r="BJ540">
        <f t="shared" si="114"/>
        <v>-13.451100556391088</v>
      </c>
    </row>
    <row r="541" spans="42:62" x14ac:dyDescent="0.25">
      <c r="AP541" s="1">
        <v>536</v>
      </c>
      <c r="AQ541" s="7">
        <f t="shared" si="103"/>
        <v>140642.36004693029</v>
      </c>
      <c r="AR541" s="7">
        <f t="shared" si="104"/>
        <v>29838.213432934783</v>
      </c>
      <c r="AS541" s="7"/>
      <c r="AT541" s="7">
        <f t="shared" si="105"/>
        <v>-353.75757638557832</v>
      </c>
      <c r="AU541" s="7">
        <f t="shared" si="106"/>
        <v>989.32543561092791</v>
      </c>
      <c r="AV541" s="7"/>
      <c r="AX541" s="7">
        <f t="shared" si="107"/>
        <v>-33.863028835721913</v>
      </c>
      <c r="AY541" s="7">
        <f t="shared" si="108"/>
        <v>-6.2700992033289431</v>
      </c>
      <c r="BB541" s="7">
        <f t="shared" si="109"/>
        <v>-6.7841512716850989</v>
      </c>
      <c r="BC541" s="7">
        <f t="shared" si="110"/>
        <v>-0.83779546596356602</v>
      </c>
      <c r="BF541" s="7">
        <f t="shared" si="111"/>
        <v>-21.410810450794852</v>
      </c>
      <c r="BG541" s="7">
        <f t="shared" si="112"/>
        <v>-6.5916433134941137</v>
      </c>
      <c r="BI541" s="10">
        <f t="shared" si="113"/>
        <v>-62.057990558201865</v>
      </c>
      <c r="BJ541">
        <f t="shared" si="114"/>
        <v>-13.699537982786623</v>
      </c>
    </row>
    <row r="542" spans="42:62" x14ac:dyDescent="0.25">
      <c r="AP542" s="1">
        <v>537</v>
      </c>
      <c r="AQ542" s="7">
        <f t="shared" si="103"/>
        <v>140457.72400991773</v>
      </c>
      <c r="AR542" s="7">
        <f t="shared" si="104"/>
        <v>30331.163708492397</v>
      </c>
      <c r="AS542" s="7"/>
      <c r="AT542" s="7">
        <f t="shared" si="105"/>
        <v>-384.78657166467923</v>
      </c>
      <c r="AU542" s="7">
        <f t="shared" si="106"/>
        <v>982.47566661953465</v>
      </c>
      <c r="AV542" s="7"/>
      <c r="AX542" s="7">
        <f t="shared" si="107"/>
        <v>-33.885806221790453</v>
      </c>
      <c r="AY542" s="7">
        <f t="shared" si="108"/>
        <v>-6.4226050724671691</v>
      </c>
      <c r="BB542" s="7">
        <f t="shared" si="109"/>
        <v>-6.791672941324193</v>
      </c>
      <c r="BC542" s="7">
        <f t="shared" si="110"/>
        <v>-0.8605544873368981</v>
      </c>
      <c r="BF542" s="7">
        <f t="shared" si="111"/>
        <v>-21.396462078603463</v>
      </c>
      <c r="BG542" s="7">
        <f t="shared" si="112"/>
        <v>-6.6680991461243462</v>
      </c>
      <c r="BI542" s="10">
        <f t="shared" si="113"/>
        <v>-62.07394124171811</v>
      </c>
      <c r="BJ542">
        <f t="shared" si="114"/>
        <v>-13.951258705928414</v>
      </c>
    </row>
    <row r="543" spans="42:62" x14ac:dyDescent="0.25">
      <c r="AP543" s="1">
        <v>538</v>
      </c>
      <c r="AQ543" s="7">
        <f t="shared" si="103"/>
        <v>140257.57148143018</v>
      </c>
      <c r="AR543" s="7">
        <f t="shared" si="104"/>
        <v>30820.657634463922</v>
      </c>
      <c r="AS543" s="7"/>
      <c r="AT543" s="7">
        <f t="shared" si="105"/>
        <v>-415.82354228553828</v>
      </c>
      <c r="AU543" s="7">
        <f t="shared" si="106"/>
        <v>975.50003726657042</v>
      </c>
      <c r="AV543" s="7"/>
      <c r="AX543" s="7">
        <f t="shared" si="107"/>
        <v>-33.915497457003028</v>
      </c>
      <c r="AY543" s="7">
        <f t="shared" si="108"/>
        <v>-6.5769805173508997</v>
      </c>
      <c r="BB543" s="7">
        <f t="shared" si="109"/>
        <v>-6.8003374619540118</v>
      </c>
      <c r="BC543" s="7">
        <f t="shared" si="110"/>
        <v>-0.88349958623059655</v>
      </c>
      <c r="BF543" s="7">
        <f t="shared" si="111"/>
        <v>-21.385688585866706</v>
      </c>
      <c r="BG543" s="7">
        <f t="shared" si="112"/>
        <v>-6.7459913103086198</v>
      </c>
      <c r="BI543" s="10">
        <f t="shared" si="113"/>
        <v>-62.101523504823746</v>
      </c>
      <c r="BJ543">
        <f t="shared" si="114"/>
        <v>-14.206471413890117</v>
      </c>
    </row>
    <row r="544" spans="42:62" x14ac:dyDescent="0.25">
      <c r="AP544" s="1">
        <v>539</v>
      </c>
      <c r="AQ544" s="7">
        <f t="shared" si="103"/>
        <v>140041.8970198493</v>
      </c>
      <c r="AR544" s="7">
        <f t="shared" si="104"/>
        <v>31306.631844170468</v>
      </c>
      <c r="AS544" s="7"/>
      <c r="AT544" s="7">
        <f t="shared" si="105"/>
        <v>-446.87430403795014</v>
      </c>
      <c r="AU544" s="7">
        <f t="shared" si="106"/>
        <v>968.39680155962537</v>
      </c>
      <c r="AV544" s="7"/>
      <c r="AX544" s="7">
        <f t="shared" si="107"/>
        <v>-33.952140567177395</v>
      </c>
      <c r="AY544" s="7">
        <f t="shared" si="108"/>
        <v>-6.7333666900537619</v>
      </c>
      <c r="BB544" s="7">
        <f t="shared" si="109"/>
        <v>-6.8101539601388819</v>
      </c>
      <c r="BC544" s="7">
        <f t="shared" si="110"/>
        <v>-0.90664660899890759</v>
      </c>
      <c r="BF544" s="7">
        <f t="shared" si="111"/>
        <v>-21.378483090292363</v>
      </c>
      <c r="BG544" s="7">
        <f t="shared" si="112"/>
        <v>-6.8253764339107699</v>
      </c>
      <c r="BI544" s="10">
        <f t="shared" si="113"/>
        <v>-62.140777617608641</v>
      </c>
      <c r="BJ544">
        <f t="shared" si="114"/>
        <v>-14.465389732963439</v>
      </c>
    </row>
    <row r="545" spans="42:62" x14ac:dyDescent="0.25">
      <c r="AP545" s="1">
        <v>540</v>
      </c>
      <c r="AQ545" s="7">
        <f t="shared" si="103"/>
        <v>139810.69227062812</v>
      </c>
      <c r="AR545" s="7">
        <f t="shared" si="104"/>
        <v>31789.02207123366</v>
      </c>
      <c r="AS545" s="7"/>
      <c r="AT545" s="7">
        <f t="shared" si="105"/>
        <v>-477.94469284675444</v>
      </c>
      <c r="AU545" s="7">
        <f t="shared" si="106"/>
        <v>961.16410669314371</v>
      </c>
      <c r="AV545" s="7"/>
      <c r="AX545" s="7">
        <f t="shared" si="107"/>
        <v>-33.995781206481823</v>
      </c>
      <c r="AY545" s="7">
        <f t="shared" si="108"/>
        <v>-6.8919080960480841</v>
      </c>
      <c r="BB545" s="7">
        <f t="shared" si="109"/>
        <v>-6.8211327092951155</v>
      </c>
      <c r="BC545" s="7">
        <f t="shared" si="110"/>
        <v>-0.93001168471229578</v>
      </c>
      <c r="BF545" s="7">
        <f t="shared" si="111"/>
        <v>-21.37484204580338</v>
      </c>
      <c r="BG545" s="7">
        <f t="shared" si="112"/>
        <v>-6.9063129287524232</v>
      </c>
      <c r="BI545" s="10">
        <f t="shared" si="113"/>
        <v>-62.19175596158032</v>
      </c>
      <c r="BJ545">
        <f t="shared" si="114"/>
        <v>-14.728232709512803</v>
      </c>
    </row>
    <row r="546" spans="42:62" x14ac:dyDescent="0.25">
      <c r="AP546" s="1">
        <v>541</v>
      </c>
      <c r="AQ546" s="7">
        <f t="shared" si="103"/>
        <v>139563.94595470955</v>
      </c>
      <c r="AR546" s="7">
        <f t="shared" si="104"/>
        <v>32267.76309549154</v>
      </c>
      <c r="AS546" s="7"/>
      <c r="AT546" s="7">
        <f t="shared" si="105"/>
        <v>-509.04057082754457</v>
      </c>
      <c r="AU546" s="7">
        <f t="shared" si="106"/>
        <v>953.79999033838726</v>
      </c>
      <c r="AV546" s="7"/>
      <c r="AX546" s="7">
        <f t="shared" si="107"/>
        <v>-34.046472781586935</v>
      </c>
      <c r="AY546" s="7">
        <f t="shared" si="108"/>
        <v>-7.0527529462005925</v>
      </c>
      <c r="BB546" s="7">
        <f t="shared" si="109"/>
        <v>-6.8332851550586922</v>
      </c>
      <c r="BC546" s="7">
        <f t="shared" si="110"/>
        <v>-0.95361125651765732</v>
      </c>
      <c r="BF546" s="7">
        <f t="shared" si="111"/>
        <v>-21.374765238071816</v>
      </c>
      <c r="BG546" s="7">
        <f t="shared" si="112"/>
        <v>-6.9888611079518759</v>
      </c>
      <c r="BI546" s="10">
        <f t="shared" si="113"/>
        <v>-62.254523174717448</v>
      </c>
      <c r="BJ546">
        <f t="shared" si="114"/>
        <v>-14.995225310670126</v>
      </c>
    </row>
    <row r="547" spans="42:62" x14ac:dyDescent="0.25">
      <c r="AP547" s="1">
        <v>542</v>
      </c>
      <c r="AQ547" s="7">
        <f t="shared" si="103"/>
        <v>139301.64385389895</v>
      </c>
      <c r="AR547" s="7">
        <f t="shared" si="104"/>
        <v>32742.788687496901</v>
      </c>
      <c r="AS547" s="7"/>
      <c r="AT547" s="7">
        <f t="shared" si="105"/>
        <v>-540.16783241490327</v>
      </c>
      <c r="AU547" s="7">
        <f t="shared" si="106"/>
        <v>946.30237768305221</v>
      </c>
      <c r="AV547" s="7"/>
      <c r="AX547" s="7">
        <f t="shared" si="107"/>
        <v>-34.104276596283086</v>
      </c>
      <c r="AY547" s="7">
        <f t="shared" si="108"/>
        <v>-7.2160535232372256</v>
      </c>
      <c r="BB547" s="7">
        <f t="shared" si="109"/>
        <v>-6.8466239436561729</v>
      </c>
      <c r="BC547" s="7">
        <f t="shared" si="110"/>
        <v>-0.97746211405161199</v>
      </c>
      <c r="BF547" s="7">
        <f t="shared" si="111"/>
        <v>-21.378255787646765</v>
      </c>
      <c r="BG547" s="7">
        <f t="shared" si="112"/>
        <v>-7.0730833088101335</v>
      </c>
      <c r="BI547" s="10">
        <f t="shared" si="113"/>
        <v>-62.32915632758602</v>
      </c>
      <c r="BJ547">
        <f t="shared" si="114"/>
        <v>-15.26659894609897</v>
      </c>
    </row>
    <row r="548" spans="42:62" x14ac:dyDescent="0.25">
      <c r="AP548" s="1">
        <v>543</v>
      </c>
      <c r="AQ548" s="7">
        <f t="shared" si="103"/>
        <v>139023.76879315055</v>
      </c>
      <c r="AR548" s="7">
        <f t="shared" si="104"/>
        <v>33214.031551470158</v>
      </c>
      <c r="AS548" s="7"/>
      <c r="AT548" s="7">
        <f t="shared" si="105"/>
        <v>-571.33241057869623</v>
      </c>
      <c r="AU548" s="7">
        <f t="shared" si="106"/>
        <v>938.66907821000268</v>
      </c>
      <c r="AV548" s="7"/>
      <c r="AX548" s="7">
        <f t="shared" si="107"/>
        <v>-34.169262017242275</v>
      </c>
      <c r="AY548" s="7">
        <f t="shared" si="108"/>
        <v>-7.3819665644160066</v>
      </c>
      <c r="BB548" s="7">
        <f t="shared" si="109"/>
        <v>-6.8611629534093783</v>
      </c>
      <c r="BC548" s="7">
        <f t="shared" si="110"/>
        <v>-1.0015814270343453</v>
      </c>
      <c r="BF548" s="7">
        <f t="shared" si="111"/>
        <v>-21.385320160689645</v>
      </c>
      <c r="BG548" s="7">
        <f t="shared" si="112"/>
        <v>-7.1590440217310638</v>
      </c>
      <c r="BI548" s="10">
        <f t="shared" si="113"/>
        <v>-62.415745131341296</v>
      </c>
      <c r="BJ548">
        <f t="shared" si="114"/>
        <v>-15.542592013181416</v>
      </c>
    </row>
    <row r="549" spans="42:62" x14ac:dyDescent="0.25">
      <c r="AP549" s="1">
        <v>544</v>
      </c>
      <c r="AQ549" s="7">
        <f t="shared" si="103"/>
        <v>138730.30061971978</v>
      </c>
      <c r="AR549" s="7">
        <f t="shared" si="104"/>
        <v>33681.423266573511</v>
      </c>
      <c r="AS549" s="7"/>
      <c r="AT549" s="7">
        <f t="shared" si="105"/>
        <v>-602.54028314436687</v>
      </c>
      <c r="AU549" s="7">
        <f t="shared" si="106"/>
        <v>930.89778220341202</v>
      </c>
      <c r="AV549" s="7"/>
      <c r="AX549" s="7">
        <f t="shared" si="107"/>
        <v>-34.24150666171824</v>
      </c>
      <c r="AY549" s="7">
        <f t="shared" si="108"/>
        <v>-7.5506536622610438</v>
      </c>
      <c r="BB549" s="7">
        <f t="shared" si="109"/>
        <v>-6.8769173295191006</v>
      </c>
      <c r="BC549" s="7">
        <f t="shared" si="110"/>
        <v>-1.0259867801784026</v>
      </c>
      <c r="BF549" s="7">
        <f t="shared" si="111"/>
        <v>-21.395968187379037</v>
      </c>
      <c r="BG549" s="7">
        <f t="shared" si="112"/>
        <v>-7.2468100257005581</v>
      </c>
      <c r="BI549" s="10">
        <f t="shared" si="113"/>
        <v>-62.514392178616376</v>
      </c>
      <c r="BJ549">
        <f t="shared" si="114"/>
        <v>-15.823450468140006</v>
      </c>
    </row>
    <row r="550" spans="42:62" x14ac:dyDescent="0.25">
      <c r="AP550" s="1">
        <v>545</v>
      </c>
      <c r="AQ550" s="7">
        <f t="shared" si="103"/>
        <v>138421.21617912527</v>
      </c>
      <c r="AR550" s="7">
        <f t="shared" si="104"/>
        <v>34144.894226366698</v>
      </c>
      <c r="AS550" s="7"/>
      <c r="AT550" s="7">
        <f t="shared" si="105"/>
        <v>-633.79747923367506</v>
      </c>
      <c r="AU550" s="7">
        <f t="shared" si="106"/>
        <v>922.98605696934203</v>
      </c>
      <c r="AV550" s="7"/>
      <c r="AX550" s="7">
        <f t="shared" si="107"/>
        <v>-34.3210966080782</v>
      </c>
      <c r="AY550" s="7">
        <f t="shared" si="108"/>
        <v>-7.7222816853350054</v>
      </c>
      <c r="BB550" s="7">
        <f t="shared" si="109"/>
        <v>-6.8939035222913372</v>
      </c>
      <c r="BC550" s="7">
        <f t="shared" si="110"/>
        <v>-1.0506962095550063</v>
      </c>
      <c r="BF550" s="7">
        <f t="shared" si="111"/>
        <v>-21.410213088067245</v>
      </c>
      <c r="BG550" s="7">
        <f t="shared" si="112"/>
        <v>-7.336450530881657</v>
      </c>
      <c r="BI550" s="10">
        <f t="shared" si="113"/>
        <v>-62.625213218436784</v>
      </c>
      <c r="BJ550">
        <f t="shared" si="114"/>
        <v>-16.109428425771668</v>
      </c>
    </row>
    <row r="551" spans="42:62" x14ac:dyDescent="0.25">
      <c r="AP551" s="1">
        <v>546</v>
      </c>
      <c r="AQ551" s="7">
        <f t="shared" si="103"/>
        <v>138096.48928785615</v>
      </c>
      <c r="AR551" s="7">
        <f t="shared" si="104"/>
        <v>34604.373576298145</v>
      </c>
      <c r="AS551" s="7"/>
      <c r="AT551" s="7">
        <f t="shared" si="105"/>
        <v>-665.11008584289345</v>
      </c>
      <c r="AU551" s="7">
        <f t="shared" si="106"/>
        <v>914.93134275645616</v>
      </c>
      <c r="AV551" s="7"/>
      <c r="AX551" s="7">
        <f t="shared" si="107"/>
        <v>-34.408126630182245</v>
      </c>
      <c r="AY551" s="7">
        <f t="shared" si="108"/>
        <v>-7.8970232211715077</v>
      </c>
      <c r="BB551" s="7">
        <f t="shared" si="109"/>
        <v>-6.9121393289844448</v>
      </c>
      <c r="BC551" s="7">
        <f t="shared" si="110"/>
        <v>-1.0757282405689672</v>
      </c>
      <c r="BF551" s="7">
        <f t="shared" si="111"/>
        <v>-21.428071507310005</v>
      </c>
      <c r="BG551" s="7">
        <f t="shared" si="112"/>
        <v>-7.428037328924467</v>
      </c>
      <c r="BI551" s="10">
        <f t="shared" si="113"/>
        <v>-62.748337466476698</v>
      </c>
      <c r="BJ551">
        <f t="shared" si="114"/>
        <v>-16.400788790664944</v>
      </c>
    </row>
    <row r="552" spans="42:62" x14ac:dyDescent="0.25">
      <c r="AP552" s="1">
        <v>547</v>
      </c>
      <c r="AQ552" s="7">
        <f t="shared" si="103"/>
        <v>137756.09070275139</v>
      </c>
      <c r="AR552" s="7">
        <f t="shared" si="104"/>
        <v>35059.789149077544</v>
      </c>
      <c r="AS552" s="7"/>
      <c r="AT552" s="7">
        <f t="shared" si="105"/>
        <v>-696.48425457613178</v>
      </c>
      <c r="AU552" s="7">
        <f t="shared" si="106"/>
        <v>906.73094836112364</v>
      </c>
      <c r="AV552" s="7"/>
      <c r="AX552" s="7">
        <f t="shared" si="107"/>
        <v>-34.502700456740193</v>
      </c>
      <c r="AY552" s="7">
        <f t="shared" si="108"/>
        <v>-8.0750570436466038</v>
      </c>
      <c r="BB552" s="7">
        <f t="shared" si="109"/>
        <v>-6.9316439394791409</v>
      </c>
      <c r="BC552" s="7">
        <f t="shared" si="110"/>
        <v>-1.1011019277038852</v>
      </c>
      <c r="BF552" s="7">
        <f t="shared" si="111"/>
        <v>-21.44956355592387</v>
      </c>
      <c r="BG552" s="7">
        <f t="shared" si="112"/>
        <v>-7.5216449516335198</v>
      </c>
      <c r="BI552" s="10">
        <f t="shared" si="113"/>
        <v>-62.883907952143204</v>
      </c>
      <c r="BJ552">
        <f t="shared" si="114"/>
        <v>-16.697803922984008</v>
      </c>
    </row>
    <row r="553" spans="42:62" x14ac:dyDescent="0.25">
      <c r="AP553" s="1">
        <v>548</v>
      </c>
      <c r="AQ553" s="7">
        <f t="shared" si="103"/>
        <v>137399.9880869693</v>
      </c>
      <c r="AR553" s="7">
        <f t="shared" si="104"/>
        <v>35511.067397767729</v>
      </c>
      <c r="AS553" s="7"/>
      <c r="AT553" s="7">
        <f t="shared" si="105"/>
        <v>-727.92620855220343</v>
      </c>
      <c r="AU553" s="7">
        <f t="shared" si="106"/>
        <v>898.38204639963169</v>
      </c>
      <c r="AV553" s="7"/>
      <c r="AX553" s="7">
        <f t="shared" si="107"/>
        <v>-34.604931056917572</v>
      </c>
      <c r="AY553" s="7">
        <f t="shared" si="108"/>
        <v>-8.256568607250248</v>
      </c>
      <c r="BB553" s="7">
        <f t="shared" si="109"/>
        <v>-6.9524379859901062</v>
      </c>
      <c r="BC553" s="7">
        <f t="shared" si="110"/>
        <v>-1.1268368962098898</v>
      </c>
      <c r="BF553" s="7">
        <f t="shared" si="111"/>
        <v>-21.47471286125943</v>
      </c>
      <c r="BG553" s="7">
        <f t="shared" si="112"/>
        <v>-7.6173508386834188</v>
      </c>
      <c r="BI553" s="10">
        <f t="shared" si="113"/>
        <v>-63.032081904167107</v>
      </c>
      <c r="BJ553">
        <f t="shared" si="114"/>
        <v>-17.000756342143557</v>
      </c>
    </row>
    <row r="554" spans="42:62" x14ac:dyDescent="0.25">
      <c r="AP554" s="1">
        <v>549</v>
      </c>
      <c r="AQ554" s="7">
        <f t="shared" si="103"/>
        <v>137028.14597245518</v>
      </c>
      <c r="AR554" s="7">
        <f t="shared" si="104"/>
        <v>35958.133326424781</v>
      </c>
      <c r="AS554" s="7"/>
      <c r="AT554" s="7">
        <f t="shared" si="105"/>
        <v>-759.44224950428702</v>
      </c>
      <c r="AU554" s="7">
        <f t="shared" si="106"/>
        <v>889.88166822855987</v>
      </c>
      <c r="AV554" s="7"/>
      <c r="AX554" s="7">
        <f t="shared" si="107"/>
        <v>-34.714940953590236</v>
      </c>
      <c r="AY554" s="7">
        <f t="shared" si="108"/>
        <v>-8.441750570916172</v>
      </c>
      <c r="BB554" s="7">
        <f t="shared" si="109"/>
        <v>-6.974543597063124</v>
      </c>
      <c r="BC554" s="7">
        <f t="shared" si="110"/>
        <v>-1.1529533859190106</v>
      </c>
      <c r="BF554" s="7">
        <f t="shared" si="111"/>
        <v>-21.503546625915472</v>
      </c>
      <c r="BG554" s="7">
        <f t="shared" si="112"/>
        <v>-7.7152355151274534</v>
      </c>
      <c r="BI554" s="10">
        <f t="shared" si="113"/>
        <v>-63.193031176568837</v>
      </c>
      <c r="BJ554">
        <f t="shared" si="114"/>
        <v>-17.309939471962636</v>
      </c>
    </row>
    <row r="555" spans="42:62" x14ac:dyDescent="0.25">
      <c r="AP555" s="1">
        <v>550</v>
      </c>
      <c r="AQ555" s="7">
        <f t="shared" si="103"/>
        <v>136640.52571880599</v>
      </c>
      <c r="AR555" s="7">
        <f t="shared" si="104"/>
        <v>36400.910418105064</v>
      </c>
      <c r="AS555" s="7"/>
      <c r="AT555" s="7">
        <f t="shared" si="105"/>
        <v>-791.03876509257145</v>
      </c>
      <c r="AU555" s="7">
        <f t="shared" si="106"/>
        <v>881.22669849257852</v>
      </c>
      <c r="AV555" s="7"/>
      <c r="AX555" s="7">
        <f t="shared" si="107"/>
        <v>-34.832862565810167</v>
      </c>
      <c r="AY555" s="7">
        <f t="shared" si="108"/>
        <v>-8.6308033542953613</v>
      </c>
      <c r="BB555" s="7">
        <f t="shared" si="109"/>
        <v>-6.997984456125204</v>
      </c>
      <c r="BC555" s="7">
        <f t="shared" si="110"/>
        <v>-1.1794722973869083</v>
      </c>
      <c r="BF555" s="7">
        <f t="shared" si="111"/>
        <v>-21.536095695158906</v>
      </c>
      <c r="BG555" s="7">
        <f t="shared" si="112"/>
        <v>-7.8153827795036559</v>
      </c>
      <c r="BI555" s="10">
        <f t="shared" si="113"/>
        <v>-63.366942717094275</v>
      </c>
      <c r="BJ555">
        <f t="shared" si="114"/>
        <v>-17.625658431185926</v>
      </c>
    </row>
    <row r="556" spans="42:62" x14ac:dyDescent="0.25">
      <c r="AP556" s="1">
        <v>551</v>
      </c>
      <c r="AQ556" s="7">
        <f t="shared" si="103"/>
        <v>136237.08546842009</v>
      </c>
      <c r="AR556" s="7">
        <f t="shared" si="104"/>
        <v>36839.320560047454</v>
      </c>
      <c r="AS556" s="7"/>
      <c r="AT556" s="7">
        <f t="shared" si="105"/>
        <v>-822.72223645111853</v>
      </c>
      <c r="AU556" s="7">
        <f t="shared" si="106"/>
        <v>872.41386927698557</v>
      </c>
      <c r="AV556" s="7"/>
      <c r="AX556" s="7">
        <f t="shared" si="107"/>
        <v>-34.958838582199988</v>
      </c>
      <c r="AY556" s="7">
        <f t="shared" si="108"/>
        <v>-8.8239357296065304</v>
      </c>
      <c r="BB556" s="7">
        <f t="shared" si="109"/>
        <v>-7.0227858648819721</v>
      </c>
      <c r="BC556" s="7">
        <f t="shared" si="110"/>
        <v>-1.2064152405751056</v>
      </c>
      <c r="BF556" s="7">
        <f t="shared" si="111"/>
        <v>-21.572394633352499</v>
      </c>
      <c r="BG556" s="7">
        <f t="shared" si="112"/>
        <v>-7.9178799034071927</v>
      </c>
      <c r="BI556" s="10">
        <f t="shared" si="113"/>
        <v>-63.554019080434458</v>
      </c>
      <c r="BJ556">
        <f t="shared" si="114"/>
        <v>-17.948230873588827</v>
      </c>
    </row>
    <row r="557" spans="42:62" x14ac:dyDescent="0.25">
      <c r="AP557" s="1">
        <v>552</v>
      </c>
      <c r="AQ557" s="7">
        <f t="shared" si="103"/>
        <v>135817.78009780947</v>
      </c>
      <c r="AR557" s="7">
        <f t="shared" si="104"/>
        <v>37273.283965826755</v>
      </c>
      <c r="AS557" s="7"/>
      <c r="AT557" s="7">
        <f t="shared" si="105"/>
        <v>-854.49924599133578</v>
      </c>
      <c r="AU557" s="7">
        <f t="shared" si="106"/>
        <v>863.4397538401912</v>
      </c>
      <c r="AV557" s="7"/>
      <c r="AX557" s="7">
        <f t="shared" si="107"/>
        <v>-35.093022367174399</v>
      </c>
      <c r="AY557" s="7">
        <f t="shared" si="108"/>
        <v>-9.0213654524773155</v>
      </c>
      <c r="BB557" s="7">
        <f t="shared" si="109"/>
        <v>-7.0489748118860351</v>
      </c>
      <c r="BC557" s="7">
        <f t="shared" si="110"/>
        <v>-1.2338045863049152</v>
      </c>
      <c r="BF557" s="7">
        <f t="shared" si="111"/>
        <v>-21.612481809733101</v>
      </c>
      <c r="BG557" s="7">
        <f t="shared" si="112"/>
        <v>-8.022817843469312</v>
      </c>
      <c r="BI557" s="10">
        <f t="shared" si="113"/>
        <v>-63.754478988793537</v>
      </c>
      <c r="BJ557">
        <f t="shared" si="114"/>
        <v>-18.277987882251544</v>
      </c>
    </row>
    <row r="558" spans="42:62" x14ac:dyDescent="0.25">
      <c r="AP558" s="1">
        <v>553</v>
      </c>
      <c r="AQ558" s="7">
        <f t="shared" si="103"/>
        <v>135382.56116494021</v>
      </c>
      <c r="AR558" s="7">
        <f t="shared" si="104"/>
        <v>37702.719094261571</v>
      </c>
      <c r="AS558" s="7"/>
      <c r="AT558" s="7">
        <f t="shared" si="105"/>
        <v>-886.37648548573259</v>
      </c>
      <c r="AU558" s="7">
        <f t="shared" si="106"/>
        <v>854.30075989906538</v>
      </c>
      <c r="AV558" s="7"/>
      <c r="AX558" s="7">
        <f t="shared" si="107"/>
        <v>-35.235578402076875</v>
      </c>
      <c r="AY558" s="7">
        <f t="shared" si="108"/>
        <v>-9.2233199355010118</v>
      </c>
      <c r="BB558" s="7">
        <f t="shared" si="109"/>
        <v>-7.0765800466311699</v>
      </c>
      <c r="BC558" s="7">
        <f t="shared" si="110"/>
        <v>-1.261663520733068</v>
      </c>
      <c r="BF558" s="7">
        <f t="shared" si="111"/>
        <v>-21.656399493935947</v>
      </c>
      <c r="BG558" s="7">
        <f t="shared" si="112"/>
        <v>-8.130291466765609</v>
      </c>
      <c r="BI558" s="10">
        <f t="shared" si="113"/>
        <v>-63.96855794264399</v>
      </c>
      <c r="BJ558">
        <f t="shared" si="114"/>
        <v>-18.615274922999689</v>
      </c>
    </row>
    <row r="559" spans="42:62" x14ac:dyDescent="0.25">
      <c r="AP559" s="1">
        <v>554</v>
      </c>
      <c r="AQ559" s="7">
        <f t="shared" si="103"/>
        <v>134931.3768524545</v>
      </c>
      <c r="AR559" s="7">
        <f t="shared" si="104"/>
        <v>38127.542564845731</v>
      </c>
      <c r="AS559" s="7"/>
      <c r="AT559" s="7">
        <f t="shared" si="105"/>
        <v>-918.36076445705453</v>
      </c>
      <c r="AU559" s="7">
        <f t="shared" si="106"/>
        <v>844.99312243756549</v>
      </c>
      <c r="AV559" s="7"/>
      <c r="AX559" s="7">
        <f t="shared" si="107"/>
        <v>-35.386682763530672</v>
      </c>
      <c r="AY559" s="7">
        <f t="shared" si="108"/>
        <v>-9.4300369685824599</v>
      </c>
      <c r="BB559" s="7">
        <f t="shared" si="109"/>
        <v>-7.1056321595633705</v>
      </c>
      <c r="BC559" s="7">
        <f t="shared" si="110"/>
        <v>-1.2900161031202313</v>
      </c>
      <c r="BF559" s="7">
        <f t="shared" si="111"/>
        <v>-21.704193961695744</v>
      </c>
      <c r="BG559" s="7">
        <f t="shared" si="112"/>
        <v>-8.2403997907595237</v>
      </c>
      <c r="BI559" s="10">
        <f t="shared" si="113"/>
        <v>-64.196508884789779</v>
      </c>
      <c r="BJ559">
        <f t="shared" si="114"/>
        <v>-18.960452862462216</v>
      </c>
    </row>
    <row r="560" spans="42:62" x14ac:dyDescent="0.25">
      <c r="AP560" s="1">
        <v>555</v>
      </c>
      <c r="AQ560" s="7">
        <f t="shared" si="103"/>
        <v>134464.17190661537</v>
      </c>
      <c r="AR560" s="7">
        <f t="shared" si="104"/>
        <v>38547.669069456708</v>
      </c>
      <c r="AS560" s="7"/>
      <c r="AT560" s="7">
        <f t="shared" si="105"/>
        <v>-950.45901889944946</v>
      </c>
      <c r="AU560" s="7">
        <f t="shared" si="106"/>
        <v>835.51289600633436</v>
      </c>
      <c r="AV560" s="7"/>
      <c r="AX560" s="7">
        <f t="shared" si="107"/>
        <v>-35.546523641525553</v>
      </c>
      <c r="AY560" s="7">
        <f t="shared" si="108"/>
        <v>-9.6417654905335546</v>
      </c>
      <c r="BB560" s="7">
        <f t="shared" si="109"/>
        <v>-7.1361636684365894</v>
      </c>
      <c r="BC560" s="7">
        <f t="shared" si="110"/>
        <v>-1.3188873271866031</v>
      </c>
      <c r="BF560" s="7">
        <f t="shared" si="111"/>
        <v>-21.755915611214913</v>
      </c>
      <c r="BG560" s="7">
        <f t="shared" si="112"/>
        <v>-8.3532462389869409</v>
      </c>
      <c r="BI560" s="10">
        <f t="shared" si="113"/>
        <v>-64.438602921177051</v>
      </c>
      <c r="BJ560">
        <f t="shared" si="114"/>
        <v>-19.3138990567071</v>
      </c>
    </row>
    <row r="561" spans="42:62" x14ac:dyDescent="0.25">
      <c r="AP561" s="1">
        <v>556</v>
      </c>
      <c r="AQ561" s="7">
        <f t="shared" si="103"/>
        <v>133980.8875718005</v>
      </c>
      <c r="AR561" s="7">
        <f t="shared" si="104"/>
        <v>38963.011280077786</v>
      </c>
      <c r="AS561" s="7"/>
      <c r="AT561" s="7">
        <f t="shared" si="105"/>
        <v>-982.67832036003801</v>
      </c>
      <c r="AU561" s="7">
        <f t="shared" si="106"/>
        <v>825.85594647798075</v>
      </c>
      <c r="AV561" s="7"/>
      <c r="AX561" s="7">
        <f t="shared" si="107"/>
        <v>-35.715301900014467</v>
      </c>
      <c r="AY561" s="7">
        <f t="shared" si="108"/>
        <v>-9.8587664168141735</v>
      </c>
      <c r="BB561" s="7">
        <f t="shared" si="109"/>
        <v>-7.1682091114836677</v>
      </c>
      <c r="BC561" s="7">
        <f t="shared" si="110"/>
        <v>-1.348303186374666</v>
      </c>
      <c r="BF561" s="7">
        <f t="shared" si="111"/>
        <v>-21.811619090740212</v>
      </c>
      <c r="BG561" s="7">
        <f t="shared" si="112"/>
        <v>-8.4689389137934512</v>
      </c>
      <c r="BI561" s="10">
        <f t="shared" si="113"/>
        <v>-64.695130102238352</v>
      </c>
      <c r="BJ561">
        <f t="shared" si="114"/>
        <v>-19.676008516982293</v>
      </c>
    </row>
    <row r="562" spans="42:62" x14ac:dyDescent="0.25">
      <c r="AP562" s="1">
        <v>557</v>
      </c>
      <c r="AQ562" s="7">
        <f t="shared" si="103"/>
        <v>133481.4615203577</v>
      </c>
      <c r="AR562" s="7">
        <f t="shared" si="104"/>
        <v>39373.479752252155</v>
      </c>
      <c r="AS562" s="7"/>
      <c r="AT562" s="7">
        <f t="shared" si="105"/>
        <v>-1015.0258854111572</v>
      </c>
      <c r="AU562" s="7">
        <f t="shared" si="106"/>
        <v>816.01794221948956</v>
      </c>
      <c r="AV562" s="7"/>
      <c r="AX562" s="7">
        <f t="shared" si="107"/>
        <v>-35.893231683065707</v>
      </c>
      <c r="AY562" s="7">
        <f t="shared" si="108"/>
        <v>-10.081313528799223</v>
      </c>
      <c r="BB562" s="7">
        <f t="shared" si="109"/>
        <v>-7.2018051479207728</v>
      </c>
      <c r="BC562" s="7">
        <f t="shared" si="110"/>
        <v>-1.3782907433680995</v>
      </c>
      <c r="BF562" s="7">
        <f t="shared" si="111"/>
        <v>-21.871363437946979</v>
      </c>
      <c r="BG562" s="7">
        <f t="shared" si="112"/>
        <v>-8.5875908875538158</v>
      </c>
      <c r="BI562" s="10">
        <f t="shared" si="113"/>
        <v>-64.966400268933455</v>
      </c>
      <c r="BJ562">
        <f t="shared" si="114"/>
        <v>-20.047195159721138</v>
      </c>
    </row>
    <row r="563" spans="42:62" x14ac:dyDescent="0.25">
      <c r="AP563" s="1">
        <v>558</v>
      </c>
      <c r="AQ563" s="7">
        <f t="shared" si="103"/>
        <v>132965.82777761851</v>
      </c>
      <c r="AR563" s="7">
        <f t="shared" si="104"/>
        <v>39778.982823966937</v>
      </c>
      <c r="AS563" s="7"/>
      <c r="AT563" s="7">
        <f t="shared" si="105"/>
        <v>-1047.509085545624</v>
      </c>
      <c r="AU563" s="7">
        <f t="shared" si="106"/>
        <v>805.99434463962893</v>
      </c>
      <c r="AV563" s="7"/>
      <c r="AX563" s="7">
        <f t="shared" si="107"/>
        <v>-36.080541069904761</v>
      </c>
      <c r="AY563" s="7">
        <f t="shared" si="108"/>
        <v>-10.30969443049251</v>
      </c>
      <c r="BB563" s="7">
        <f t="shared" si="109"/>
        <v>-7.2369906663516419</v>
      </c>
      <c r="BC563" s="7">
        <f t="shared" si="110"/>
        <v>-1.4088782042470491</v>
      </c>
      <c r="BF563" s="7">
        <f t="shared" si="111"/>
        <v>-21.93521223179318</v>
      </c>
      <c r="BG563" s="7">
        <f t="shared" si="112"/>
        <v>-8.7093205139337826</v>
      </c>
      <c r="BI563" s="10">
        <f t="shared" si="113"/>
        <v>-65.252743968049586</v>
      </c>
      <c r="BJ563">
        <f t="shared" si="114"/>
        <v>-20.427893148673341</v>
      </c>
    </row>
    <row r="564" spans="42:62" x14ac:dyDescent="0.25">
      <c r="AP564" s="1">
        <v>559</v>
      </c>
      <c r="AQ564" s="7">
        <f t="shared" si="103"/>
        <v>132433.9166418497</v>
      </c>
      <c r="AR564" s="7">
        <f t="shared" si="104"/>
        <v>40179.42650964317</v>
      </c>
      <c r="AS564" s="7"/>
      <c r="AT564" s="7">
        <f t="shared" si="105"/>
        <v>-1080.1354575296489</v>
      </c>
      <c r="AU564" s="7">
        <f t="shared" si="106"/>
        <v>795.78039806529227</v>
      </c>
      <c r="AV564" s="7"/>
      <c r="AX564" s="7">
        <f t="shared" si="107"/>
        <v>-36.277472782517833</v>
      </c>
      <c r="AY564" s="7">
        <f t="shared" si="108"/>
        <v>-10.544211579218434</v>
      </c>
      <c r="BB564" s="7">
        <f t="shared" si="109"/>
        <v>-7.2738069016974638</v>
      </c>
      <c r="BC564" s="7">
        <f t="shared" si="110"/>
        <v>-1.4400949976958497</v>
      </c>
      <c r="BF564" s="7">
        <f t="shared" si="111"/>
        <v>-22.003233757573962</v>
      </c>
      <c r="BG564" s="7">
        <f t="shared" si="112"/>
        <v>-8.8342517608993276</v>
      </c>
      <c r="BI564" s="10">
        <f t="shared" si="113"/>
        <v>-65.554513441789254</v>
      </c>
      <c r="BJ564">
        <f t="shared" si="114"/>
        <v>-20.818558337813613</v>
      </c>
    </row>
    <row r="565" spans="42:62" x14ac:dyDescent="0.25">
      <c r="AP565" s="1">
        <v>560</v>
      </c>
      <c r="AQ565" s="7">
        <f t="shared" si="103"/>
        <v>131885.65459890466</v>
      </c>
      <c r="AR565" s="7">
        <f t="shared" si="104"/>
        <v>40574.714388883593</v>
      </c>
      <c r="AS565" s="7"/>
      <c r="AT565" s="7">
        <f t="shared" si="105"/>
        <v>-1112.9127142505436</v>
      </c>
      <c r="AU565" s="7">
        <f t="shared" si="106"/>
        <v>785.3711188963855</v>
      </c>
      <c r="AV565" s="7"/>
      <c r="AX565" s="7">
        <f t="shared" si="107"/>
        <v>-36.484284949837374</v>
      </c>
      <c r="AY565" s="7">
        <f t="shared" si="108"/>
        <v>-10.785183397499903</v>
      </c>
      <c r="BB565" s="7">
        <f t="shared" si="109"/>
        <v>-7.3122975613389203</v>
      </c>
      <c r="BC565" s="7">
        <f t="shared" si="110"/>
        <v>-1.471971859718211</v>
      </c>
      <c r="BF565" s="7">
        <f t="shared" si="111"/>
        <v>-22.075501185979178</v>
      </c>
      <c r="BG565" s="7">
        <f t="shared" si="112"/>
        <v>-8.9625145673378022</v>
      </c>
      <c r="BI565" s="10">
        <f t="shared" si="113"/>
        <v>-65.872083697155475</v>
      </c>
      <c r="BJ565">
        <f t="shared" si="114"/>
        <v>-21.219669824555915</v>
      </c>
    </row>
    <row r="566" spans="42:62" x14ac:dyDescent="0.25">
      <c r="AP566" s="1">
        <v>561</v>
      </c>
      <c r="AQ566" s="7">
        <f t="shared" si="103"/>
        <v>131320.96423131722</v>
      </c>
      <c r="AR566" s="7">
        <f t="shared" si="104"/>
        <v>40964.747489603709</v>
      </c>
      <c r="AS566" s="7"/>
      <c r="AT566" s="7">
        <f t="shared" si="105"/>
        <v>-1145.8487560991214</v>
      </c>
      <c r="AU566" s="7">
        <f t="shared" si="106"/>
        <v>774.76128398410754</v>
      </c>
      <c r="AV566" s="7"/>
      <c r="AX566" s="7">
        <f t="shared" si="107"/>
        <v>-36.701251932926972</v>
      </c>
      <c r="AY566" s="7">
        <f t="shared" si="108"/>
        <v>-11.032945474094356</v>
      </c>
      <c r="BB566" s="7">
        <f t="shared" si="109"/>
        <v>-7.3525089612272856</v>
      </c>
      <c r="BC566" s="7">
        <f t="shared" si="110"/>
        <v>-1.5045409243588028</v>
      </c>
      <c r="BF566" s="7">
        <f t="shared" si="111"/>
        <v>-22.152092767039768</v>
      </c>
      <c r="BG566" s="7">
        <f t="shared" si="112"/>
        <v>-9.0942452253345412</v>
      </c>
      <c r="BI566" s="10">
        <f t="shared" si="113"/>
        <v>-66.205853661194027</v>
      </c>
      <c r="BJ566">
        <f t="shared" si="114"/>
        <v>-21.631731623787701</v>
      </c>
    </row>
    <row r="567" spans="42:62" x14ac:dyDescent="0.25">
      <c r="AP567" s="1">
        <v>562</v>
      </c>
      <c r="AQ567" s="7">
        <f t="shared" si="103"/>
        <v>130739.76412156002</v>
      </c>
      <c r="AR567" s="7">
        <f t="shared" si="104"/>
        <v>41349.424165142787</v>
      </c>
      <c r="AS567" s="7"/>
      <c r="AT567" s="7">
        <f t="shared" si="105"/>
        <v>-1178.9516829297183</v>
      </c>
      <c r="AU567" s="7">
        <f t="shared" si="106"/>
        <v>763.94541817221364</v>
      </c>
      <c r="AV567" s="7"/>
      <c r="AX567" s="7">
        <f t="shared" si="107"/>
        <v>-36.928665216017258</v>
      </c>
      <c r="AY567" s="7">
        <f t="shared" si="108"/>
        <v>-11.287851863016172</v>
      </c>
      <c r="BB567" s="7">
        <f t="shared" si="109"/>
        <v>-7.3944901727965258</v>
      </c>
      <c r="BC567" s="7">
        <f t="shared" si="110"/>
        <v>-1.5378358209784571</v>
      </c>
      <c r="BF567" s="7">
        <f t="shared" si="111"/>
        <v>-22.233092039930639</v>
      </c>
      <c r="BG567" s="7">
        <f t="shared" si="112"/>
        <v>-9.2295867903436353</v>
      </c>
      <c r="BI567" s="10">
        <f t="shared" si="113"/>
        <v>-66.556247428744427</v>
      </c>
      <c r="BJ567">
        <f t="shared" si="114"/>
        <v>-22.055274474338265</v>
      </c>
    </row>
    <row r="568" spans="42:62" x14ac:dyDescent="0.25">
      <c r="AP568" s="1">
        <v>563</v>
      </c>
      <c r="AQ568" s="7">
        <f t="shared" si="103"/>
        <v>130141.96874916657</v>
      </c>
      <c r="AR568" s="7">
        <f t="shared" si="104"/>
        <v>41728.639964919603</v>
      </c>
      <c r="AS568" s="7"/>
      <c r="AT568" s="7">
        <f t="shared" si="105"/>
        <v>-1212.2298066440906</v>
      </c>
      <c r="AU568" s="7">
        <f t="shared" si="106"/>
        <v>752.91778093504445</v>
      </c>
      <c r="AV568" s="7"/>
      <c r="AX568" s="7">
        <f t="shared" si="107"/>
        <v>-37.16683436871935</v>
      </c>
      <c r="AY568" s="7">
        <f t="shared" si="108"/>
        <v>-11.550276490334852</v>
      </c>
      <c r="BB568" s="7">
        <f t="shared" si="109"/>
        <v>-7.4382931815966398</v>
      </c>
      <c r="BC568" s="7">
        <f t="shared" si="110"/>
        <v>-1.5718917786850066</v>
      </c>
      <c r="BF568" s="7">
        <f t="shared" si="111"/>
        <v>-22.318588059697717</v>
      </c>
      <c r="BG568" s="7">
        <f t="shared" si="112"/>
        <v>-9.3686895217127226</v>
      </c>
      <c r="BI568" s="10">
        <f t="shared" si="113"/>
        <v>-66.923715610013716</v>
      </c>
      <c r="BJ568">
        <f t="shared" si="114"/>
        <v>-22.490857790732584</v>
      </c>
    </row>
    <row r="569" spans="42:62" x14ac:dyDescent="0.25">
      <c r="AP569" s="1">
        <v>564</v>
      </c>
      <c r="AQ569" s="7">
        <f t="shared" si="103"/>
        <v>129527.48838139327</v>
      </c>
      <c r="AR569" s="7">
        <f t="shared" si="104"/>
        <v>42102.287498163285</v>
      </c>
      <c r="AS569" s="7"/>
      <c r="AT569" s="7">
        <f t="shared" si="105"/>
        <v>-1245.6916644490975</v>
      </c>
      <c r="AU569" s="7">
        <f t="shared" si="106"/>
        <v>741.67235203967812</v>
      </c>
      <c r="AV569" s="7"/>
      <c r="AX569" s="7">
        <f t="shared" si="107"/>
        <v>-37.416088085272818</v>
      </c>
      <c r="AY569" s="7">
        <f t="shared" si="108"/>
        <v>-11.820614679621878</v>
      </c>
      <c r="BB569" s="7">
        <f t="shared" si="109"/>
        <v>-7.483973058659716</v>
      </c>
      <c r="BC569" s="7">
        <f t="shared" si="110"/>
        <v>-1.6067457385815287</v>
      </c>
      <c r="BF569" s="7">
        <f t="shared" si="111"/>
        <v>-22.408675642077263</v>
      </c>
      <c r="BG569" s="7">
        <f t="shared" si="112"/>
        <v>-9.5117113562640974</v>
      </c>
      <c r="BI569" s="10">
        <f t="shared" si="113"/>
        <v>-67.308736786009803</v>
      </c>
      <c r="BJ569">
        <f t="shared" si="114"/>
        <v>-22.939071774467504</v>
      </c>
    </row>
    <row r="570" spans="42:62" x14ac:dyDescent="0.25">
      <c r="AP570" s="1">
        <v>565</v>
      </c>
      <c r="AQ570" s="7">
        <f t="shared" si="103"/>
        <v>128896.22895707047</v>
      </c>
      <c r="AR570" s="7">
        <f t="shared" si="104"/>
        <v>42470.256290211313</v>
      </c>
      <c r="AS570" s="7"/>
      <c r="AT570" s="7">
        <f t="shared" si="105"/>
        <v>-1279.3460328421024</v>
      </c>
      <c r="AU570" s="7">
        <f t="shared" si="106"/>
        <v>730.20281615244437</v>
      </c>
      <c r="AV570" s="7"/>
      <c r="AX570" s="7">
        <f t="shared" si="107"/>
        <v>-37.676775307266027</v>
      </c>
      <c r="AY570" s="7">
        <f t="shared" si="108"/>
        <v>-12.099284808137982</v>
      </c>
      <c r="BB570" s="7">
        <f t="shared" si="109"/>
        <v>-7.5315881457201534</v>
      </c>
      <c r="BC570" s="7">
        <f t="shared" si="110"/>
        <v>-1.6424364745621582</v>
      </c>
      <c r="BF570" s="7">
        <f t="shared" si="111"/>
        <v>-22.503455627690283</v>
      </c>
      <c r="BG570" s="7">
        <f t="shared" si="112"/>
        <v>-9.6588184179063568</v>
      </c>
      <c r="BI570" s="10">
        <f t="shared" si="113"/>
        <v>-67.711819080676463</v>
      </c>
      <c r="BJ570">
        <f t="shared" si="114"/>
        <v>-23.400539700606497</v>
      </c>
    </row>
    <row r="571" spans="42:62" x14ac:dyDescent="0.25">
      <c r="AP571" s="1">
        <v>566</v>
      </c>
      <c r="AQ571" s="7">
        <f t="shared" si="103"/>
        <v>128248.09196326435</v>
      </c>
      <c r="AR571" s="7">
        <f t="shared" si="104"/>
        <v>42832.432630824966</v>
      </c>
      <c r="AS571" s="7"/>
      <c r="AT571" s="7">
        <f t="shared" si="105"/>
        <v>-1313.2019423824406</v>
      </c>
      <c r="AU571" s="7">
        <f t="shared" si="106"/>
        <v>718.50254630214113</v>
      </c>
      <c r="AV571" s="7"/>
      <c r="AX571" s="7">
        <f t="shared" si="107"/>
        <v>-37.949266436914925</v>
      </c>
      <c r="AY571" s="7">
        <f t="shared" si="108"/>
        <v>-12.386730107229587</v>
      </c>
      <c r="BB571" s="7">
        <f t="shared" si="109"/>
        <v>-7.5812002555251832</v>
      </c>
      <c r="BC571" s="7">
        <f t="shared" si="110"/>
        <v>-1.6790047234604741</v>
      </c>
      <c r="BF571" s="7">
        <f t="shared" si="111"/>
        <v>-22.603035167021744</v>
      </c>
      <c r="BG571" s="7">
        <f t="shared" si="112"/>
        <v>-9.8101855665545763</v>
      </c>
      <c r="BI571" s="10">
        <f t="shared" si="113"/>
        <v>-68.133501859461859</v>
      </c>
      <c r="BJ571">
        <f t="shared" si="114"/>
        <v>-23.875920397244638</v>
      </c>
    </row>
    <row r="572" spans="42:62" x14ac:dyDescent="0.25">
      <c r="AP572" s="1">
        <v>567</v>
      </c>
      <c r="AQ572" s="7">
        <f t="shared" si="103"/>
        <v>127582.97430434069</v>
      </c>
      <c r="AR572" s="7">
        <f t="shared" si="104"/>
        <v>43188.699413926384</v>
      </c>
      <c r="AS572" s="7"/>
      <c r="AT572" s="7">
        <f t="shared" si="105"/>
        <v>-1347.2686933121715</v>
      </c>
      <c r="AU572" s="7">
        <f t="shared" si="106"/>
        <v>706.56458610351876</v>
      </c>
      <c r="AV572" s="7"/>
      <c r="AX572" s="7">
        <f t="shared" si="107"/>
        <v>-38.233954648695153</v>
      </c>
      <c r="AY572" s="7">
        <f t="shared" si="108"/>
        <v>-12.68342062195542</v>
      </c>
      <c r="BB572" s="7">
        <f t="shared" si="109"/>
        <v>-7.6328748886061328</v>
      </c>
      <c r="BC572" s="7">
        <f t="shared" si="110"/>
        <v>-1.7164933254404873</v>
      </c>
      <c r="BF572" s="7">
        <f t="shared" si="111"/>
        <v>-22.707528027725651</v>
      </c>
      <c r="BG572" s="7">
        <f t="shared" si="112"/>
        <v>-9.965996989972318</v>
      </c>
      <c r="BI572" s="10">
        <f t="shared" si="113"/>
        <v>-68.574357565026929</v>
      </c>
      <c r="BJ572">
        <f t="shared" si="114"/>
        <v>-24.365910937368227</v>
      </c>
    </row>
    <row r="573" spans="42:62" x14ac:dyDescent="0.25">
      <c r="AP573" s="1">
        <v>568</v>
      </c>
      <c r="AQ573" s="7">
        <f t="shared" si="103"/>
        <v>126900.76816298898</v>
      </c>
      <c r="AR573" s="7">
        <f t="shared" si="104"/>
        <v>43538.935968110971</v>
      </c>
      <c r="AS573" s="7"/>
      <c r="AT573" s="7">
        <f t="shared" si="105"/>
        <v>-1381.5558720946849</v>
      </c>
      <c r="AU573" s="7">
        <f t="shared" si="106"/>
        <v>694.38163063483466</v>
      </c>
      <c r="AV573" s="7"/>
      <c r="AX573" s="7">
        <f t="shared" si="107"/>
        <v>-38.531257307925188</v>
      </c>
      <c r="AY573" s="7">
        <f t="shared" si="108"/>
        <v>-12.989855346726044</v>
      </c>
      <c r="BB573" s="7">
        <f t="shared" si="109"/>
        <v>-7.6866814680285351</v>
      </c>
      <c r="BC573" s="7">
        <f t="shared" si="110"/>
        <v>-1.7549473756150626</v>
      </c>
      <c r="BF573" s="7">
        <f t="shared" si="111"/>
        <v>-22.817054925955112</v>
      </c>
      <c r="BG573" s="7">
        <f t="shared" si="112"/>
        <v>-10.126446842529818</v>
      </c>
      <c r="BI573" s="10">
        <f t="shared" si="113"/>
        <v>-69.034993701908832</v>
      </c>
      <c r="BJ573">
        <f t="shared" si="114"/>
        <v>-24.871249564870922</v>
      </c>
    </row>
    <row r="574" spans="42:62" x14ac:dyDescent="0.25">
      <c r="AP574" s="1">
        <v>569</v>
      </c>
      <c r="AQ574" s="7">
        <f t="shared" si="103"/>
        <v>126201.3608527289</v>
      </c>
      <c r="AR574" s="7">
        <f t="shared" si="104"/>
        <v>43883.017877232778</v>
      </c>
      <c r="AS574" s="7"/>
      <c r="AT574" s="7">
        <f t="shared" si="105"/>
        <v>-1416.0733689456392</v>
      </c>
      <c r="AU574" s="7">
        <f t="shared" si="106"/>
        <v>681.94600585239925</v>
      </c>
      <c r="AV574" s="7"/>
      <c r="AX574" s="7">
        <f t="shared" si="107"/>
        <v>-38.84161750576105</v>
      </c>
      <c r="AY574" s="7">
        <f t="shared" si="108"/>
        <v>-13.306564555725554</v>
      </c>
      <c r="BB574" s="7">
        <f t="shared" si="109"/>
        <v>-7.7426935938038692</v>
      </c>
      <c r="BC574" s="7">
        <f t="shared" si="110"/>
        <v>-1.7944143879827332</v>
      </c>
      <c r="BF574" s="7">
        <f t="shared" si="111"/>
        <v>-22.931743883577557</v>
      </c>
      <c r="BG574" s="7">
        <f t="shared" si="112"/>
        <v>-10.291739935293023</v>
      </c>
      <c r="BI574" s="10">
        <f t="shared" si="113"/>
        <v>-69.516054983142482</v>
      </c>
      <c r="BJ574">
        <f t="shared" si="114"/>
        <v>-25.392718879001311</v>
      </c>
    </row>
    <row r="575" spans="42:62" x14ac:dyDescent="0.25">
      <c r="AP575" s="1">
        <v>570</v>
      </c>
      <c r="AQ575" s="7">
        <f t="shared" si="103"/>
        <v>125484.63466138318</v>
      </c>
      <c r="AR575" s="7">
        <f t="shared" si="104"/>
        <v>44220.816790299104</v>
      </c>
      <c r="AS575" s="7"/>
      <c r="AT575" s="7">
        <f t="shared" si="105"/>
        <v>-1450.8313964372105</v>
      </c>
      <c r="AU575" s="7">
        <f t="shared" si="106"/>
        <v>669.24964641289864</v>
      </c>
      <c r="AV575" s="7"/>
      <c r="AX575" s="7">
        <f t="shared" si="107"/>
        <v>-39.165505721062679</v>
      </c>
      <c r="AY575" s="7">
        <f t="shared" si="108"/>
        <v>-13.634112349152023</v>
      </c>
      <c r="BB575" s="7">
        <f t="shared" si="109"/>
        <v>-7.8009893188342367</v>
      </c>
      <c r="BC575" s="7">
        <f t="shared" si="110"/>
        <v>-1.8349444728939912</v>
      </c>
      <c r="BF575" s="7">
        <f t="shared" si="111"/>
        <v>-23.051730613322384</v>
      </c>
      <c r="BG575" s="7">
        <f t="shared" si="112"/>
        <v>-10.46209248233353</v>
      </c>
      <c r="BI575" s="10">
        <f t="shared" si="113"/>
        <v>-70.018225653219304</v>
      </c>
      <c r="BJ575">
        <f t="shared" si="114"/>
        <v>-25.931149304379545</v>
      </c>
    </row>
    <row r="576" spans="42:62" x14ac:dyDescent="0.25">
      <c r="AP576" s="1">
        <v>571</v>
      </c>
      <c r="AQ576" s="7">
        <f t="shared" si="103"/>
        <v>124750.46668495792</v>
      </c>
      <c r="AR576" s="7">
        <f t="shared" si="104"/>
        <v>44552.200219842503</v>
      </c>
      <c r="AS576" s="7"/>
      <c r="AT576" s="7">
        <f t="shared" si="105"/>
        <v>-1485.8405092638202</v>
      </c>
      <c r="AU576" s="7">
        <f t="shared" si="106"/>
        <v>656.28407176070891</v>
      </c>
      <c r="AV576" s="7"/>
      <c r="AX576" s="7">
        <f t="shared" si="107"/>
        <v>-39.503421620654045</v>
      </c>
      <c r="AY576" s="7">
        <f t="shared" si="108"/>
        <v>-13.973099438873557</v>
      </c>
      <c r="BB576" s="7">
        <f t="shared" si="109"/>
        <v>-7.8616514484681783</v>
      </c>
      <c r="BC576" s="7">
        <f t="shared" si="110"/>
        <v>-1.8765905293921596</v>
      </c>
      <c r="BF576" s="7">
        <f t="shared" si="111"/>
        <v>-23.17715893410865</v>
      </c>
      <c r="BG576" s="7">
        <f t="shared" si="112"/>
        <v>-10.637732908679885</v>
      </c>
      <c r="BI576" s="10">
        <f t="shared" si="113"/>
        <v>-70.542232003230879</v>
      </c>
      <c r="BJ576">
        <f t="shared" si="114"/>
        <v>-26.487422876945601</v>
      </c>
    </row>
    <row r="577" spans="42:62" x14ac:dyDescent="0.25">
      <c r="AP577" s="1">
        <v>572</v>
      </c>
      <c r="AQ577" s="7">
        <f t="shared" si="103"/>
        <v>123998.72865132561</v>
      </c>
      <c r="AR577" s="7">
        <f t="shared" si="104"/>
        <v>44877.031327863238</v>
      </c>
      <c r="AS577" s="7"/>
      <c r="AT577" s="7">
        <f t="shared" si="105"/>
        <v>-1521.1116252654356</v>
      </c>
      <c r="AU577" s="7">
        <f t="shared" si="106"/>
        <v>643.0403603222361</v>
      </c>
      <c r="AV577" s="7"/>
      <c r="AX577" s="7">
        <f t="shared" si="107"/>
        <v>-39.855896010730348</v>
      </c>
      <c r="AY577" s="7">
        <f t="shared" si="108"/>
        <v>-14.324166200027287</v>
      </c>
      <c r="BB577" s="7">
        <f t="shared" si="109"/>
        <v>-7.9247678659850678</v>
      </c>
      <c r="BC577" s="7">
        <f t="shared" si="110"/>
        <v>-1.9194084539263792</v>
      </c>
      <c r="BF577" s="7">
        <f t="shared" si="111"/>
        <v>-23.308181219026803</v>
      </c>
      <c r="BG577" s="7">
        <f t="shared" si="112"/>
        <v>-10.81890272592884</v>
      </c>
      <c r="BI577" s="10">
        <f t="shared" si="113"/>
        <v>-71.088845095742215</v>
      </c>
      <c r="BJ577">
        <f t="shared" si="114"/>
        <v>-27.062477379882509</v>
      </c>
    </row>
    <row r="578" spans="42:62" x14ac:dyDescent="0.25">
      <c r="AP578" s="1">
        <v>573</v>
      </c>
      <c r="AQ578" s="7">
        <f t="shared" si="103"/>
        <v>123229.28673305592</v>
      </c>
      <c r="AR578" s="7">
        <f t="shared" si="104"/>
        <v>45195.168698351874</v>
      </c>
      <c r="AS578" s="7"/>
      <c r="AT578" s="7">
        <f t="shared" si="105"/>
        <v>-1556.6560478133067</v>
      </c>
      <c r="AU578" s="7">
        <f t="shared" si="106"/>
        <v>629.50912163229486</v>
      </c>
      <c r="AV578" s="7"/>
      <c r="AX578" s="7">
        <f t="shared" si="107"/>
        <v>-40.223492953495345</v>
      </c>
      <c r="AY578" s="7">
        <f t="shared" si="108"/>
        <v>-14.687996018415284</v>
      </c>
      <c r="BB578" s="7">
        <f t="shared" si="109"/>
        <v>-7.9904318865888424</v>
      </c>
      <c r="BC578" s="7">
        <f t="shared" si="110"/>
        <v>-1.9634573671047992</v>
      </c>
      <c r="BF578" s="7">
        <f t="shared" si="111"/>
        <v>-23.444958878701161</v>
      </c>
      <c r="BG578" s="7">
        <f t="shared" si="112"/>
        <v>-11.005857482209095</v>
      </c>
      <c r="BI578" s="10">
        <f t="shared" si="113"/>
        <v>-71.658883718785347</v>
      </c>
      <c r="BJ578">
        <f t="shared" si="114"/>
        <v>-27.65731086772918</v>
      </c>
    </row>
    <row r="579" spans="42:62" x14ac:dyDescent="0.25">
      <c r="AP579" s="1">
        <v>574</v>
      </c>
      <c r="AQ579" s="7">
        <f t="shared" si="103"/>
        <v>122442.00134868443</v>
      </c>
      <c r="AR579" s="7">
        <f t="shared" si="104"/>
        <v>45506.466095309552</v>
      </c>
      <c r="AS579" s="7"/>
      <c r="AT579" s="7">
        <f t="shared" si="105"/>
        <v>-1592.4854896726995</v>
      </c>
      <c r="AU579" s="7">
        <f t="shared" si="106"/>
        <v>615.68046619843028</v>
      </c>
      <c r="AV579" s="7"/>
      <c r="AX579" s="7">
        <f t="shared" si="107"/>
        <v>-40.606812064627078</v>
      </c>
      <c r="AY579" s="7">
        <f t="shared" si="108"/>
        <v>-15.06531896736197</v>
      </c>
      <c r="BB579" s="7">
        <f t="shared" si="109"/>
        <v>-8.0587426427962576</v>
      </c>
      <c r="BC579" s="7">
        <f t="shared" si="110"/>
        <v>-2.0087998603504129</v>
      </c>
      <c r="BF579" s="7">
        <f t="shared" si="111"/>
        <v>-23.58766288302974</v>
      </c>
      <c r="BG579" s="7">
        <f t="shared" si="112"/>
        <v>-11.198867793944634</v>
      </c>
      <c r="BI579" s="10">
        <f t="shared" si="113"/>
        <v>-72.253217590453076</v>
      </c>
      <c r="BJ579">
        <f t="shared" si="114"/>
        <v>-28.272986621657019</v>
      </c>
    </row>
    <row r="580" spans="42:62" x14ac:dyDescent="0.25">
      <c r="AP580" s="1">
        <v>575</v>
      </c>
      <c r="AQ580" s="7">
        <f t="shared" si="103"/>
        <v>121636.72695164927</v>
      </c>
      <c r="AR580" s="7">
        <f t="shared" si="104"/>
        <v>45810.772205081063</v>
      </c>
      <c r="AS580" s="7"/>
      <c r="AT580" s="7">
        <f t="shared" si="105"/>
        <v>-1628.612098467926</v>
      </c>
      <c r="AU580" s="7">
        <f t="shared" si="106"/>
        <v>601.54397288760174</v>
      </c>
      <c r="AV580" s="7"/>
      <c r="AX580" s="7">
        <f t="shared" si="107"/>
        <v>-41.006491008836477</v>
      </c>
      <c r="AY580" s="7">
        <f t="shared" si="108"/>
        <v>-15.456915852048169</v>
      </c>
      <c r="BB580" s="7">
        <f t="shared" si="109"/>
        <v>-8.1298055044427517</v>
      </c>
      <c r="BC580" s="7">
        <f t="shared" si="110"/>
        <v>-2.0555022645404577</v>
      </c>
      <c r="BF580" s="7">
        <f t="shared" si="111"/>
        <v>-23.736474324611962</v>
      </c>
      <c r="BG580" s="7">
        <f t="shared" si="112"/>
        <v>-11.398220467722966</v>
      </c>
      <c r="BI580" s="10">
        <f t="shared" si="113"/>
        <v>-72.872770837891181</v>
      </c>
      <c r="BJ580">
        <f t="shared" si="114"/>
        <v>-28.910638584311592</v>
      </c>
    </row>
    <row r="581" spans="42:62" x14ac:dyDescent="0.25">
      <c r="AP581" s="1">
        <v>576</v>
      </c>
      <c r="AQ581" s="7">
        <f t="shared" si="103"/>
        <v>120813.31180606058</v>
      </c>
      <c r="AR581" s="7">
        <f t="shared" si="104"/>
        <v>46107.93036170183</v>
      </c>
      <c r="AS581" s="7"/>
      <c r="AT581" s="7">
        <f t="shared" si="105"/>
        <v>-1665.0484838868715</v>
      </c>
      <c r="AU581" s="7">
        <f t="shared" si="106"/>
        <v>587.08865359544598</v>
      </c>
      <c r="AV581" s="7"/>
      <c r="AX581" s="7">
        <f t="shared" si="107"/>
        <v>-41.423208212660249</v>
      </c>
      <c r="AY581" s="7">
        <f t="shared" si="108"/>
        <v>-15.863622664328737</v>
      </c>
      <c r="BB581" s="7">
        <f t="shared" si="109"/>
        <v>-8.2037325369193521</v>
      </c>
      <c r="BC581" s="7">
        <f t="shared" si="110"/>
        <v>-2.1036349429597196</v>
      </c>
      <c r="BF581" s="7">
        <f t="shared" si="111"/>
        <v>-23.891585027519685</v>
      </c>
      <c r="BG581" s="7">
        <f t="shared" si="112"/>
        <v>-11.6042197215416</v>
      </c>
      <c r="BI581" s="10">
        <f t="shared" si="113"/>
        <v>-73.518525777099285</v>
      </c>
      <c r="BJ581">
        <f t="shared" si="114"/>
        <v>-29.571477328830056</v>
      </c>
    </row>
    <row r="582" spans="42:62" x14ac:dyDescent="0.25">
      <c r="AP582" s="1">
        <v>577</v>
      </c>
      <c r="AQ582" s="7">
        <f t="shared" ref="AQ582:AQ645" si="115">AQ581+(AT581*$R$7)+((1/2)*(BI581)*$R$7^2)</f>
        <v>119971.597748395</v>
      </c>
      <c r="AR582" s="7">
        <f t="shared" ref="AR582:AR645" si="116">AR581+(AU581*$R$7)+((1/2)*(BJ581)*$R$7^2)</f>
        <v>46397.77825383345</v>
      </c>
      <c r="AS582" s="7"/>
      <c r="AT582" s="7">
        <f t="shared" ref="AT582:AT645" si="117">AT581+(BI581)*$R$7</f>
        <v>-1701.807746775421</v>
      </c>
      <c r="AU582" s="7">
        <f t="shared" ref="AU582:AU645" si="118">AU581+(BJ581)*$R$7</f>
        <v>572.30291493103095</v>
      </c>
      <c r="AV582" s="7"/>
      <c r="AX582" s="7">
        <f t="shared" ref="AX582:AX645" si="119">(($R$23-AQ582)/(($R$23-AQ582)^2+($S$23-AR582)^2+$R$28^2)^(3/2))*$R$27</f>
        <v>-41.857685815717041</v>
      </c>
      <c r="AY582" s="7">
        <f t="shared" ref="AY582:AY645" si="120">(($S$23-AR582)/(($R$23-AQ582)^2+($S$23-AR582)^2+$R$28^2)^(3/2))*$R$27</f>
        <v>-16.286335496768942</v>
      </c>
      <c r="BB582" s="7">
        <f t="shared" ref="BB582:BB645" si="121">(($R$32-AQ582)/(($R$32-AQ582)^2+($S$32-AR582)^2+$R$37^2)^(3/2))*$R$36</f>
        <v>-8.2806430016903878</v>
      </c>
      <c r="BC582" s="7">
        <f t="shared" ref="BC582:BC645" si="122">(($S$32-AR582)/(($R$32-AQ582)^2+($S$32-AR582)^2+$R$37^2)^(3/2))*$R$36</f>
        <v>-2.153272611179724</v>
      </c>
      <c r="BF582" s="7">
        <f t="shared" ref="BF582:BF645" si="123">(($R$41-AQ582)/(($R$41-AQ582)^2+($S$41-AR582)^2+$R$46^2)^(3/2))*$R$45</f>
        <v>-24.05319820544134</v>
      </c>
      <c r="BG582" s="7">
        <f t="shared" ref="BG582:BG645" si="124">(($S$41-AR582)/(($R$41-AQ582)^2+($S$41-AR582)^2+$R$46^2)^(3/2))*$R$45</f>
        <v>-11.817188515797453</v>
      </c>
      <c r="BI582" s="10">
        <f t="shared" ref="BI582:BI645" si="125">BF582+BB582+AX582</f>
        <v>-74.19152702284876</v>
      </c>
      <c r="BJ582">
        <f t="shared" ref="BJ582:BJ645" si="126">BG582+BC582+AY582</f>
        <v>-30.256796623746119</v>
      </c>
    </row>
    <row r="583" spans="42:62" x14ac:dyDescent="0.25">
      <c r="AP583" s="1">
        <v>578</v>
      </c>
      <c r="AQ583" s="7">
        <f t="shared" si="115"/>
        <v>119111.41993412943</v>
      </c>
      <c r="AR583" s="7">
        <f t="shared" si="116"/>
        <v>46680.147611720997</v>
      </c>
      <c r="AS583" s="7"/>
      <c r="AT583" s="7">
        <f t="shared" si="117"/>
        <v>-1738.9035102868454</v>
      </c>
      <c r="AU583" s="7">
        <f t="shared" si="118"/>
        <v>557.17451661915788</v>
      </c>
      <c r="AV583" s="7"/>
      <c r="AX583" s="7">
        <f t="shared" si="119"/>
        <v>-42.310692883999877</v>
      </c>
      <c r="AY583" s="7">
        <f t="shared" si="120"/>
        <v>-16.726015971227739</v>
      </c>
      <c r="BB583" s="7">
        <f t="shared" si="121"/>
        <v>-8.3606639036455537</v>
      </c>
      <c r="BC583" s="7">
        <f t="shared" si="122"/>
        <v>-2.2044946867979474</v>
      </c>
      <c r="BF583" s="7">
        <f t="shared" si="123"/>
        <v>-24.221529173668863</v>
      </c>
      <c r="BG583" s="7">
        <f t="shared" si="124"/>
        <v>-12.037470005632173</v>
      </c>
      <c r="BI583" s="10">
        <f t="shared" si="125"/>
        <v>-74.892885961314292</v>
      </c>
      <c r="BJ583">
        <f t="shared" si="126"/>
        <v>-30.967980663657858</v>
      </c>
    </row>
    <row r="584" spans="42:62" x14ac:dyDescent="0.25">
      <c r="AP584" s="1">
        <v>579</v>
      </c>
      <c r="AQ584" s="7">
        <f t="shared" si="115"/>
        <v>118232.60656824084</v>
      </c>
      <c r="AR584" s="7">
        <f t="shared" si="116"/>
        <v>46954.863872447619</v>
      </c>
      <c r="AS584" s="7"/>
      <c r="AT584" s="7">
        <f t="shared" si="117"/>
        <v>-1776.3499532675025</v>
      </c>
      <c r="AU584" s="7">
        <f t="shared" si="118"/>
        <v>541.69052628732891</v>
      </c>
      <c r="AV584" s="7"/>
      <c r="AX584" s="7">
        <f t="shared" si="119"/>
        <v>-42.783048911378948</v>
      </c>
      <c r="AY584" s="7">
        <f t="shared" si="120"/>
        <v>-17.183697244907115</v>
      </c>
      <c r="BB584" s="7">
        <f t="shared" si="121"/>
        <v>-8.4439305904086623</v>
      </c>
      <c r="BC584" s="7">
        <f t="shared" si="122"/>
        <v>-2.2573856723370289</v>
      </c>
      <c r="BF584" s="7">
        <f t="shared" si="123"/>
        <v>-24.396806119861509</v>
      </c>
      <c r="BG584" s="7">
        <f t="shared" si="124"/>
        <v>-12.265429127651485</v>
      </c>
      <c r="BI584" s="10">
        <f t="shared" si="125"/>
        <v>-75.62378562164912</v>
      </c>
      <c r="BJ584">
        <f t="shared" si="126"/>
        <v>-31.706512044895629</v>
      </c>
    </row>
    <row r="585" spans="42:62" x14ac:dyDescent="0.25">
      <c r="AP585" s="1">
        <v>580</v>
      </c>
      <c r="AQ585" s="7">
        <f t="shared" si="115"/>
        <v>117334.97861840439</v>
      </c>
      <c r="AR585" s="7">
        <f t="shared" si="116"/>
        <v>47221.745821585675</v>
      </c>
      <c r="AS585" s="7"/>
      <c r="AT585" s="7">
        <f t="shared" si="117"/>
        <v>-1814.161846078327</v>
      </c>
      <c r="AU585" s="7">
        <f t="shared" si="118"/>
        <v>525.83727026488111</v>
      </c>
      <c r="AV585" s="7"/>
      <c r="AX585" s="7">
        <f t="shared" si="119"/>
        <v>-43.275627638438003</v>
      </c>
      <c r="AY585" s="7">
        <f t="shared" si="120"/>
        <v>-17.660490665568314</v>
      </c>
      <c r="BB585" s="7">
        <f t="shared" si="121"/>
        <v>-8.5305874093790042</v>
      </c>
      <c r="BC585" s="7">
        <f t="shared" si="122"/>
        <v>-2.3120355750226382</v>
      </c>
      <c r="BF585" s="7">
        <f t="shared" si="123"/>
        <v>-24.579270939071016</v>
      </c>
      <c r="BG585" s="7">
        <f t="shared" si="124"/>
        <v>-12.501454335650513</v>
      </c>
      <c r="BI585" s="10">
        <f t="shared" si="125"/>
        <v>-76.385485986888028</v>
      </c>
      <c r="BJ585">
        <f t="shared" si="126"/>
        <v>-32.473980576241466</v>
      </c>
    </row>
    <row r="586" spans="42:62" x14ac:dyDescent="0.25">
      <c r="AP586" s="1">
        <v>581</v>
      </c>
      <c r="AQ586" s="7">
        <f t="shared" si="115"/>
        <v>116418.34950961686</v>
      </c>
      <c r="AR586" s="7">
        <f t="shared" si="116"/>
        <v>47480.605209146081</v>
      </c>
      <c r="AS586" s="7"/>
      <c r="AT586" s="7">
        <f t="shared" si="117"/>
        <v>-1852.354589071771</v>
      </c>
      <c r="AU586" s="7">
        <f t="shared" si="118"/>
        <v>509.60027997676036</v>
      </c>
      <c r="AV586" s="7"/>
      <c r="AX586" s="7">
        <f t="shared" si="119"/>
        <v>-43.789361221023732</v>
      </c>
      <c r="AY586" s="7">
        <f t="shared" si="120"/>
        <v>-18.157593157761131</v>
      </c>
      <c r="BB586" s="7">
        <f t="shared" si="121"/>
        <v>-8.6207884290288632</v>
      </c>
      <c r="BC586" s="7">
        <f t="shared" si="122"/>
        <v>-2.368540367637475</v>
      </c>
      <c r="BF586" s="7">
        <f t="shared" si="123"/>
        <v>-24.769180139103998</v>
      </c>
      <c r="BG586" s="7">
        <f t="shared" si="124"/>
        <v>-12.745959501804979</v>
      </c>
      <c r="BI586" s="10">
        <f t="shared" si="125"/>
        <v>-77.179329789156583</v>
      </c>
      <c r="BJ586">
        <f t="shared" si="126"/>
        <v>-33.272093027203582</v>
      </c>
    </row>
    <row r="587" spans="42:62" x14ac:dyDescent="0.25">
      <c r="AP587" s="1">
        <v>582</v>
      </c>
      <c r="AQ587" s="7">
        <f t="shared" si="115"/>
        <v>115482.52479885734</v>
      </c>
      <c r="AR587" s="7">
        <f t="shared" si="116"/>
        <v>47731.246337506062</v>
      </c>
      <c r="AS587" s="7"/>
      <c r="AT587" s="7">
        <f t="shared" si="117"/>
        <v>-1890.9442539663494</v>
      </c>
      <c r="AU587" s="7">
        <f t="shared" si="118"/>
        <v>492.96423346315856</v>
      </c>
      <c r="AV587" s="7"/>
      <c r="AX587" s="7">
        <f t="shared" si="119"/>
        <v>-44.325244784568866</v>
      </c>
      <c r="AY587" s="7">
        <f t="shared" si="120"/>
        <v>-18.676295433691617</v>
      </c>
      <c r="BB587" s="7">
        <f t="shared" si="121"/>
        <v>-8.7146982318380104</v>
      </c>
      <c r="BC587" s="7">
        <f t="shared" si="122"/>
        <v>-2.427002495197681</v>
      </c>
      <c r="BF587" s="7">
        <f t="shared" si="123"/>
        <v>-24.966805822975775</v>
      </c>
      <c r="BG587" s="7">
        <f t="shared" si="124"/>
        <v>-12.99938600188289</v>
      </c>
      <c r="BI587" s="10">
        <f t="shared" si="125"/>
        <v>-78.006748839382652</v>
      </c>
      <c r="BJ587">
        <f t="shared" si="126"/>
        <v>-34.102683930772187</v>
      </c>
    </row>
    <row r="588" spans="42:62" x14ac:dyDescent="0.25">
      <c r="AP588" s="1">
        <v>583</v>
      </c>
      <c r="AQ588" s="7">
        <f t="shared" si="115"/>
        <v>114527.30182826924</v>
      </c>
      <c r="AR588" s="7">
        <f t="shared" si="116"/>
        <v>47973.465618746297</v>
      </c>
      <c r="AS588" s="7"/>
      <c r="AT588" s="7">
        <f t="shared" si="117"/>
        <v>-1929.9476283860406</v>
      </c>
      <c r="AU588" s="7">
        <f t="shared" si="118"/>
        <v>475.91289149777248</v>
      </c>
      <c r="AV588" s="7"/>
      <c r="AX588" s="7">
        <f t="shared" si="119"/>
        <v>-44.884341404360399</v>
      </c>
      <c r="AY588" s="7">
        <f t="shared" si="120"/>
        <v>-19.217991136039956</v>
      </c>
      <c r="BB588" s="7">
        <f t="shared" si="121"/>
        <v>-8.8124927872322338</v>
      </c>
      <c r="BC588" s="7">
        <f t="shared" si="122"/>
        <v>-2.4875314328283986</v>
      </c>
      <c r="BF588" s="7">
        <f t="shared" si="123"/>
        <v>-25.172436755971926</v>
      </c>
      <c r="BG588" s="7">
        <f t="shared" si="124"/>
        <v>-13.262205005428736</v>
      </c>
      <c r="BI588" s="10">
        <f t="shared" si="125"/>
        <v>-78.869270947564559</v>
      </c>
      <c r="BJ588">
        <f t="shared" si="126"/>
        <v>-34.967727574297086</v>
      </c>
    </row>
    <row r="589" spans="42:62" x14ac:dyDescent="0.25">
      <c r="AP589" s="1">
        <v>584</v>
      </c>
      <c r="AQ589" s="7">
        <f t="shared" si="115"/>
        <v>113552.46935520778</v>
      </c>
      <c r="AR589" s="7">
        <f t="shared" si="116"/>
        <v>48207.0510985484</v>
      </c>
      <c r="AS589" s="7"/>
      <c r="AT589" s="7">
        <f t="shared" si="117"/>
        <v>-1969.3822638598228</v>
      </c>
      <c r="AU589" s="7">
        <f t="shared" si="118"/>
        <v>458.42902771062393</v>
      </c>
      <c r="AV589" s="7"/>
      <c r="AX589" s="7">
        <f t="shared" si="119"/>
        <v>-45.467787556523625</v>
      </c>
      <c r="AY589" s="7">
        <f t="shared" si="120"/>
        <v>-19.784187035981414</v>
      </c>
      <c r="BB589" s="7">
        <f t="shared" si="121"/>
        <v>-8.9143604140302788</v>
      </c>
      <c r="BC589" s="7">
        <f t="shared" si="122"/>
        <v>-2.5502443009411175</v>
      </c>
      <c r="BF589" s="7">
        <f t="shared" si="123"/>
        <v>-25.386379525689183</v>
      </c>
      <c r="BG589" s="7">
        <f t="shared" si="124"/>
        <v>-13.53491999462002</v>
      </c>
      <c r="BI589" s="10">
        <f t="shared" si="125"/>
        <v>-79.768527496243081</v>
      </c>
      <c r="BJ589">
        <f t="shared" si="126"/>
        <v>-35.869351331542553</v>
      </c>
    </row>
    <row r="590" spans="42:62" x14ac:dyDescent="0.25">
      <c r="AP590" s="1">
        <v>585</v>
      </c>
      <c r="AQ590" s="7">
        <f t="shared" si="115"/>
        <v>112557.80715734084</v>
      </c>
      <c r="AR590" s="7">
        <f t="shared" si="116"/>
        <v>48431.781943487265</v>
      </c>
      <c r="AS590" s="7"/>
      <c r="AT590" s="7">
        <f t="shared" si="117"/>
        <v>-2009.2665276079445</v>
      </c>
      <c r="AU590" s="7">
        <f t="shared" si="118"/>
        <v>440.49435204485263</v>
      </c>
      <c r="AV590" s="7"/>
      <c r="AX590" s="7">
        <f t="shared" si="119"/>
        <v>-46.076799089650336</v>
      </c>
      <c r="AY590" s="7">
        <f t="shared" si="120"/>
        <v>-20.376514428279208</v>
      </c>
      <c r="BB590" s="7">
        <f t="shared" si="121"/>
        <v>-9.0205028432163346</v>
      </c>
      <c r="BC590" s="7">
        <f t="shared" si="122"/>
        <v>-2.6152665446525445</v>
      </c>
      <c r="BF590" s="7">
        <f t="shared" si="123"/>
        <v>-25.608959804397845</v>
      </c>
      <c r="BG590" s="7">
        <f t="shared" si="124"/>
        <v>-13.818069538656399</v>
      </c>
      <c r="BI590" s="10">
        <f t="shared" si="125"/>
        <v>-80.706261737264512</v>
      </c>
      <c r="BJ590">
        <f t="shared" si="126"/>
        <v>-36.809850511588152</v>
      </c>
    </row>
    <row r="591" spans="42:62" x14ac:dyDescent="0.25">
      <c r="AP591" s="1">
        <v>586</v>
      </c>
      <c r="AQ591" s="7">
        <f t="shared" si="115"/>
        <v>111543.0856108197</v>
      </c>
      <c r="AR591" s="7">
        <f t="shared" si="116"/>
        <v>48647.427888195743</v>
      </c>
      <c r="AS591" s="7"/>
      <c r="AT591" s="7">
        <f t="shared" si="117"/>
        <v>-2049.6196584765767</v>
      </c>
      <c r="AU591" s="7">
        <f t="shared" si="118"/>
        <v>422.08942678905856</v>
      </c>
      <c r="AV591" s="7"/>
      <c r="AX591" s="7">
        <f t="shared" si="119"/>
        <v>-46.712677772761147</v>
      </c>
      <c r="AY591" s="7">
        <f t="shared" si="120"/>
        <v>-20.996741887101464</v>
      </c>
      <c r="BB591" s="7">
        <f t="shared" si="121"/>
        <v>-9.131136393375451</v>
      </c>
      <c r="BC591" s="7">
        <f t="shared" si="122"/>
        <v>-2.6827326853524198</v>
      </c>
      <c r="BF591" s="7">
        <f t="shared" si="123"/>
        <v>-25.840523724155496</v>
      </c>
      <c r="BG591" s="7">
        <f t="shared" si="124"/>
        <v>-14.11223035417648</v>
      </c>
      <c r="BI591" s="10">
        <f t="shared" si="125"/>
        <v>-81.684337890292085</v>
      </c>
      <c r="BJ591">
        <f t="shared" si="126"/>
        <v>-37.791704926630366</v>
      </c>
    </row>
    <row r="592" spans="42:62" x14ac:dyDescent="0.25">
      <c r="AP592" s="1">
        <v>587</v>
      </c>
      <c r="AQ592" s="7">
        <f t="shared" si="115"/>
        <v>110508.06523934513</v>
      </c>
      <c r="AR592" s="7">
        <f t="shared" si="116"/>
        <v>48853.748638474441</v>
      </c>
      <c r="AS592" s="7"/>
      <c r="AT592" s="7">
        <f t="shared" si="117"/>
        <v>-2090.4618274217228</v>
      </c>
      <c r="AU592" s="7">
        <f t="shared" si="118"/>
        <v>403.19357432574338</v>
      </c>
      <c r="AV592" s="7"/>
      <c r="AX592" s="7">
        <f t="shared" si="119"/>
        <v>-47.376818481741765</v>
      </c>
      <c r="AY592" s="7">
        <f t="shared" si="120"/>
        <v>-21.64678957177491</v>
      </c>
      <c r="BB592" s="7">
        <f t="shared" si="121"/>
        <v>-9.2464932728938951</v>
      </c>
      <c r="BC592" s="7">
        <f t="shared" si="122"/>
        <v>-2.7527871534490842</v>
      </c>
      <c r="BF592" s="7">
        <f t="shared" si="123"/>
        <v>-26.081439376351668</v>
      </c>
      <c r="BG592" s="7">
        <f t="shared" si="124"/>
        <v>-14.418020686402164</v>
      </c>
      <c r="BI592" s="10">
        <f t="shared" si="125"/>
        <v>-82.704751130987319</v>
      </c>
      <c r="BJ592">
        <f t="shared" si="126"/>
        <v>-38.81759741162616</v>
      </c>
    </row>
    <row r="593" spans="42:62" x14ac:dyDescent="0.25">
      <c r="AP593" s="1">
        <v>588</v>
      </c>
      <c r="AQ593" s="7">
        <f t="shared" si="115"/>
        <v>109452.49623174289</v>
      </c>
      <c r="AR593" s="7">
        <f t="shared" si="116"/>
        <v>49050.493225960861</v>
      </c>
      <c r="AS593" s="7"/>
      <c r="AT593" s="7">
        <f t="shared" si="117"/>
        <v>-2131.8142029872165</v>
      </c>
      <c r="AU593" s="7">
        <f t="shared" si="118"/>
        <v>383.78477561993031</v>
      </c>
      <c r="AV593" s="7"/>
      <c r="AX593" s="7">
        <f t="shared" si="119"/>
        <v>-48.070717093582772</v>
      </c>
      <c r="AY593" s="7">
        <f t="shared" si="120"/>
        <v>-22.328745301746128</v>
      </c>
      <c r="BB593" s="7">
        <f t="shared" si="121"/>
        <v>-9.3668230250792224</v>
      </c>
      <c r="BC593" s="7">
        <f t="shared" si="122"/>
        <v>-2.8255852126236412</v>
      </c>
      <c r="BF593" s="7">
        <f t="shared" si="123"/>
        <v>-26.332098448757939</v>
      </c>
      <c r="BG593" s="7">
        <f t="shared" si="124"/>
        <v>-14.736104050561883</v>
      </c>
      <c r="BI593" s="10">
        <f t="shared" si="125"/>
        <v>-83.769638567419932</v>
      </c>
      <c r="BJ593">
        <f t="shared" si="126"/>
        <v>-39.890434564931653</v>
      </c>
    </row>
    <row r="594" spans="42:62" x14ac:dyDescent="0.25">
      <c r="AP594" s="1">
        <v>589</v>
      </c>
      <c r="AQ594" s="7">
        <f t="shared" si="115"/>
        <v>108376.11792542835</v>
      </c>
      <c r="AR594" s="7">
        <f t="shared" si="116"/>
        <v>49237.399309450215</v>
      </c>
      <c r="AS594" s="7"/>
      <c r="AT594" s="7">
        <f t="shared" si="117"/>
        <v>-2173.6990222709264</v>
      </c>
      <c r="AU594" s="7">
        <f t="shared" si="118"/>
        <v>363.8395583374645</v>
      </c>
      <c r="AV594" s="7"/>
      <c r="AX594" s="7">
        <f t="shared" si="119"/>
        <v>-48.795979165777439</v>
      </c>
      <c r="AY594" s="7">
        <f t="shared" si="120"/>
        <v>-23.044882655472161</v>
      </c>
      <c r="BB594" s="7">
        <f t="shared" si="121"/>
        <v>-9.4923941347503078</v>
      </c>
      <c r="BC594" s="7">
        <f t="shared" si="122"/>
        <v>-2.9012939874395896</v>
      </c>
      <c r="BF594" s="7">
        <f t="shared" si="123"/>
        <v>-26.592918014768529</v>
      </c>
      <c r="BG594" s="7">
        <f t="shared" si="124"/>
        <v>-15.067193378783207</v>
      </c>
      <c r="BI594" s="10">
        <f t="shared" si="125"/>
        <v>-84.881291315296266</v>
      </c>
      <c r="BJ594">
        <f t="shared" si="126"/>
        <v>-41.013370021694953</v>
      </c>
    </row>
    <row r="595" spans="42:62" x14ac:dyDescent="0.25">
      <c r="AP595" s="1">
        <v>590</v>
      </c>
      <c r="AQ595" s="7">
        <f t="shared" si="115"/>
        <v>107278.65825287848</v>
      </c>
      <c r="AR595" s="7">
        <f t="shared" si="116"/>
        <v>49414.192417366234</v>
      </c>
      <c r="AS595" s="7"/>
      <c r="AT595" s="7">
        <f t="shared" si="117"/>
        <v>-2216.1396679285745</v>
      </c>
      <c r="AU595" s="7">
        <f t="shared" si="118"/>
        <v>343.332873326617</v>
      </c>
      <c r="AV595" s="7"/>
      <c r="AX595" s="7">
        <f t="shared" si="119"/>
        <v>-49.55432948712825</v>
      </c>
      <c r="AY595" s="7">
        <f t="shared" si="120"/>
        <v>-23.797681389866668</v>
      </c>
      <c r="BB595" s="7">
        <f t="shared" si="121"/>
        <v>-9.6234958176467629</v>
      </c>
      <c r="BC595" s="7">
        <f t="shared" si="122"/>
        <v>-2.9800936079232327</v>
      </c>
      <c r="BF595" s="7">
        <f t="shared" si="123"/>
        <v>-26.864342491325065</v>
      </c>
      <c r="BG595" s="7">
        <f t="shared" si="124"/>
        <v>-15.412055624185173</v>
      </c>
      <c r="BI595" s="10">
        <f t="shared" si="125"/>
        <v>-86.042167796100074</v>
      </c>
      <c r="BJ595">
        <f t="shared" si="126"/>
        <v>-42.189830621975076</v>
      </c>
    </row>
    <row r="596" spans="42:62" x14ac:dyDescent="0.25">
      <c r="AP596" s="1">
        <v>591</v>
      </c>
      <c r="AQ596" s="7">
        <f t="shared" si="115"/>
        <v>106159.83314793969</v>
      </c>
      <c r="AR596" s="7">
        <f t="shared" si="116"/>
        <v>49580.585125201789</v>
      </c>
      <c r="AS596" s="7"/>
      <c r="AT596" s="7">
        <f t="shared" si="117"/>
        <v>-2259.1607518266246</v>
      </c>
      <c r="AU596" s="7">
        <f t="shared" si="118"/>
        <v>322.23795801562949</v>
      </c>
      <c r="AV596" s="7"/>
      <c r="AX596" s="7">
        <f t="shared" si="119"/>
        <v>-50.347622596097416</v>
      </c>
      <c r="AY596" s="7">
        <f t="shared" si="120"/>
        <v>-24.589850526622953</v>
      </c>
      <c r="BB596" s="7">
        <f t="shared" si="121"/>
        <v>-9.7604400172930426</v>
      </c>
      <c r="BC596" s="7">
        <f t="shared" si="122"/>
        <v>-3.0621784867999593</v>
      </c>
      <c r="BF596" s="7">
        <f t="shared" si="123"/>
        <v>-27.146845784106002</v>
      </c>
      <c r="BG596" s="7">
        <f t="shared" si="124"/>
        <v>-15.771516881533545</v>
      </c>
      <c r="BI596" s="10">
        <f t="shared" si="125"/>
        <v>-87.25490839749645</v>
      </c>
      <c r="BJ596">
        <f t="shared" si="126"/>
        <v>-43.423545894956462</v>
      </c>
    </row>
    <row r="597" spans="42:62" x14ac:dyDescent="0.25">
      <c r="AP597" s="1">
        <v>592</v>
      </c>
      <c r="AQ597" s="7">
        <f t="shared" si="115"/>
        <v>105019.34590847669</v>
      </c>
      <c r="AR597" s="7">
        <f t="shared" si="116"/>
        <v>49736.276160972731</v>
      </c>
      <c r="AS597" s="7"/>
      <c r="AT597" s="7">
        <f t="shared" si="117"/>
        <v>-2302.7882060253728</v>
      </c>
      <c r="AU597" s="7">
        <f t="shared" si="118"/>
        <v>300.52618506815128</v>
      </c>
      <c r="AV597" s="7"/>
      <c r="AX597" s="7">
        <f t="shared" si="119"/>
        <v>-51.177854373707014</v>
      </c>
      <c r="AY597" s="7">
        <f t="shared" si="120"/>
        <v>-25.424354510805767</v>
      </c>
      <c r="BB597" s="7">
        <f t="shared" si="121"/>
        <v>-9.9035636378153864</v>
      </c>
      <c r="BC597" s="7">
        <f t="shared" si="122"/>
        <v>-3.1477587474989126</v>
      </c>
      <c r="BF597" s="7">
        <f t="shared" si="123"/>
        <v>-27.440933640931473</v>
      </c>
      <c r="BG597" s="7">
        <f t="shared" si="124"/>
        <v>-16.146468092730206</v>
      </c>
      <c r="BI597" s="10">
        <f t="shared" si="125"/>
        <v>-88.522351652453864</v>
      </c>
      <c r="BJ597">
        <f t="shared" si="126"/>
        <v>-44.718581351034885</v>
      </c>
    </row>
    <row r="598" spans="42:62" x14ac:dyDescent="0.25">
      <c r="AP598" s="1">
        <v>593</v>
      </c>
      <c r="AQ598" s="7">
        <f t="shared" si="115"/>
        <v>103856.88651150744</v>
      </c>
      <c r="AR598" s="7">
        <f t="shared" si="116"/>
        <v>49880.949430837929</v>
      </c>
      <c r="AS598" s="7"/>
      <c r="AT598" s="7">
        <f t="shared" si="117"/>
        <v>-2347.0493818515997</v>
      </c>
      <c r="AU598" s="7">
        <f t="shared" si="118"/>
        <v>278.16689439263382</v>
      </c>
      <c r="AV598" s="7"/>
      <c r="AX598" s="7">
        <f t="shared" si="119"/>
        <v>-52.047174829931521</v>
      </c>
      <c r="AY598" s="7">
        <f t="shared" si="120"/>
        <v>-26.30444291754872</v>
      </c>
      <c r="BB598" s="7">
        <f t="shared" si="121"/>
        <v>-10.053231045765859</v>
      </c>
      <c r="BC598" s="7">
        <f t="shared" si="122"/>
        <v>-3.2370618238935616</v>
      </c>
      <c r="BF598" s="7">
        <f t="shared" si="123"/>
        <v>-27.747146237050739</v>
      </c>
      <c r="BG598" s="7">
        <f t="shared" si="124"/>
        <v>-16.537871415841437</v>
      </c>
      <c r="BI598" s="10">
        <f t="shared" si="125"/>
        <v>-89.847552112748119</v>
      </c>
      <c r="BJ598">
        <f t="shared" si="126"/>
        <v>-46.079376157283718</v>
      </c>
    </row>
    <row r="599" spans="42:62" x14ac:dyDescent="0.25">
      <c r="AP599" s="1">
        <v>594</v>
      </c>
      <c r="AQ599" s="7">
        <f t="shared" si="115"/>
        <v>102672.13087656755</v>
      </c>
      <c r="AR599" s="7">
        <f t="shared" si="116"/>
        <v>50014.272956014589</v>
      </c>
      <c r="AS599" s="7"/>
      <c r="AT599" s="7">
        <f t="shared" si="117"/>
        <v>-2391.9731579079739</v>
      </c>
      <c r="AU599" s="7">
        <f t="shared" si="118"/>
        <v>255.12720631399196</v>
      </c>
      <c r="AV599" s="7"/>
      <c r="AX599" s="7">
        <f t="shared" si="119"/>
        <v>-52.957902215497214</v>
      </c>
      <c r="AY599" s="7">
        <f t="shared" si="120"/>
        <v>-27.233684266939953</v>
      </c>
      <c r="BB599" s="7">
        <f t="shared" si="121"/>
        <v>-10.209836879399155</v>
      </c>
      <c r="BC599" s="7">
        <f t="shared" si="122"/>
        <v>-3.3303342561134226</v>
      </c>
      <c r="BF599" s="7">
        <f t="shared" si="123"/>
        <v>-28.066061019101248</v>
      </c>
      <c r="BG599" s="7">
        <f t="shared" si="124"/>
        <v>-16.946767348626089</v>
      </c>
      <c r="BI599" s="10">
        <f t="shared" si="125"/>
        <v>-91.233800113997617</v>
      </c>
      <c r="BJ599">
        <f t="shared" si="126"/>
        <v>-47.510785871679467</v>
      </c>
    </row>
    <row r="600" spans="42:62" x14ac:dyDescent="0.25">
      <c r="AP600" s="1">
        <v>595</v>
      </c>
      <c r="AQ600" s="7">
        <f t="shared" si="115"/>
        <v>101464.74007259931</v>
      </c>
      <c r="AR600" s="7">
        <f t="shared" si="116"/>
        <v>50135.897710937628</v>
      </c>
      <c r="AS600" s="7"/>
      <c r="AT600" s="7">
        <f t="shared" si="117"/>
        <v>-2437.5900579649729</v>
      </c>
      <c r="AU600" s="7">
        <f t="shared" si="118"/>
        <v>231.37181337815224</v>
      </c>
      <c r="AV600" s="7"/>
      <c r="AX600" s="7">
        <f t="shared" si="119"/>
        <v>-53.912538604966002</v>
      </c>
      <c r="AY600" s="7">
        <f t="shared" si="120"/>
        <v>-28.216004608249463</v>
      </c>
      <c r="BB600" s="7">
        <f t="shared" si="121"/>
        <v>-10.373809210247297</v>
      </c>
      <c r="BC600" s="7">
        <f t="shared" si="122"/>
        <v>-3.4278437107460906</v>
      </c>
      <c r="BF600" s="7">
        <f t="shared" si="123"/>
        <v>-28.398295838121811</v>
      </c>
      <c r="BG600" s="7">
        <f t="shared" si="124"/>
        <v>-17.374282711961605</v>
      </c>
      <c r="BI600" s="10">
        <f t="shared" si="125"/>
        <v>-92.684643653335115</v>
      </c>
      <c r="BJ600">
        <f t="shared" si="126"/>
        <v>-49.018131030957157</v>
      </c>
    </row>
    <row r="601" spans="42:62" x14ac:dyDescent="0.25">
      <c r="AP601" s="1">
        <v>596</v>
      </c>
      <c r="AQ601" s="7">
        <f t="shared" si="115"/>
        <v>100234.35946316016</v>
      </c>
      <c r="AR601" s="7">
        <f t="shared" si="116"/>
        <v>50245.456351247834</v>
      </c>
      <c r="AS601" s="7"/>
      <c r="AT601" s="7">
        <f t="shared" si="117"/>
        <v>-2483.9323797916404</v>
      </c>
      <c r="AU601" s="7">
        <f t="shared" si="118"/>
        <v>206.86274786267367</v>
      </c>
      <c r="AV601" s="7"/>
      <c r="AX601" s="7">
        <f t="shared" si="119"/>
        <v>-54.913787111776742</v>
      </c>
      <c r="AY601" s="7">
        <f t="shared" si="120"/>
        <v>-29.255731656285551</v>
      </c>
      <c r="BB601" s="7">
        <f t="shared" si="121"/>
        <v>-10.545613109456387</v>
      </c>
      <c r="BC601" s="7">
        <f t="shared" si="122"/>
        <v>-3.5298812584751551</v>
      </c>
      <c r="BF601" s="7">
        <f t="shared" si="123"/>
        <v>-28.744512406123746</v>
      </c>
      <c r="BG601" s="7">
        <f t="shared" si="124"/>
        <v>-17.821639615606678</v>
      </c>
      <c r="BI601" s="10">
        <f t="shared" si="125"/>
        <v>-94.203912627356871</v>
      </c>
      <c r="BJ601">
        <f t="shared" si="126"/>
        <v>-50.607252530367383</v>
      </c>
    </row>
    <row r="602" spans="42:62" x14ac:dyDescent="0.25">
      <c r="AP602" s="1">
        <v>597</v>
      </c>
      <c r="AQ602" s="7">
        <f t="shared" si="115"/>
        <v>98980.617784185932</v>
      </c>
      <c r="AR602" s="7">
        <f t="shared" si="116"/>
        <v>50342.561818612878</v>
      </c>
      <c r="AS602" s="7"/>
      <c r="AT602" s="7">
        <f t="shared" si="117"/>
        <v>-2531.0343361053187</v>
      </c>
      <c r="AU602" s="7">
        <f t="shared" si="118"/>
        <v>181.55912159748999</v>
      </c>
      <c r="AV602" s="7"/>
      <c r="AX602" s="7">
        <f t="shared" si="119"/>
        <v>-55.964570911289385</v>
      </c>
      <c r="AY602" s="7">
        <f t="shared" si="120"/>
        <v>-30.357645409544233</v>
      </c>
      <c r="BB602" s="7">
        <f t="shared" si="121"/>
        <v>-10.725754680454118</v>
      </c>
      <c r="BC602" s="7">
        <f t="shared" si="122"/>
        <v>-3.6367639478251959</v>
      </c>
      <c r="BF602" s="7">
        <f t="shared" si="123"/>
        <v>-29.105420115510107</v>
      </c>
      <c r="BG602" s="7">
        <f t="shared" si="124"/>
        <v>-18.290165548945794</v>
      </c>
      <c r="BI602" s="10">
        <f t="shared" si="125"/>
        <v>-95.795745707253616</v>
      </c>
      <c r="BJ602">
        <f t="shared" si="126"/>
        <v>-52.284574906315221</v>
      </c>
    </row>
    <row r="603" spans="42:62" x14ac:dyDescent="0.25">
      <c r="AP603" s="1">
        <v>598</v>
      </c>
      <c r="AQ603" s="7">
        <f t="shared" si="115"/>
        <v>97703.126147919873</v>
      </c>
      <c r="AR603" s="7">
        <f t="shared" si="116"/>
        <v>50426.805807548328</v>
      </c>
      <c r="AS603" s="7"/>
      <c r="AT603" s="7">
        <f t="shared" si="117"/>
        <v>-2578.9322089589455</v>
      </c>
      <c r="AU603" s="7">
        <f t="shared" si="118"/>
        <v>155.41683414433237</v>
      </c>
      <c r="AV603" s="7"/>
      <c r="AX603" s="7">
        <f t="shared" si="119"/>
        <v>-57.068054263334716</v>
      </c>
      <c r="AY603" s="7">
        <f t="shared" si="120"/>
        <v>-31.527036357756369</v>
      </c>
      <c r="BB603" s="7">
        <f t="shared" si="121"/>
        <v>-10.914785630434256</v>
      </c>
      <c r="BC603" s="7">
        <f t="shared" si="122"/>
        <v>-3.7488377204022347</v>
      </c>
      <c r="BF603" s="7">
        <f t="shared" si="123"/>
        <v>-29.481780266155958</v>
      </c>
      <c r="BG603" s="7">
        <f t="shared" si="124"/>
        <v>-18.781304763366872</v>
      </c>
      <c r="BI603" s="10">
        <f t="shared" si="125"/>
        <v>-97.464620159924934</v>
      </c>
      <c r="BJ603">
        <f t="shared" si="126"/>
        <v>-54.057178841525477</v>
      </c>
    </row>
    <row r="604" spans="42:62" x14ac:dyDescent="0.25">
      <c r="AP604" s="1">
        <v>599</v>
      </c>
      <c r="AQ604" s="7">
        <f t="shared" si="115"/>
        <v>96401.476965920403</v>
      </c>
      <c r="AR604" s="7">
        <f t="shared" si="116"/>
        <v>50497.757077265298</v>
      </c>
      <c r="AS604" s="7"/>
      <c r="AT604" s="7">
        <f t="shared" si="117"/>
        <v>-2627.6645190389081</v>
      </c>
      <c r="AU604" s="7">
        <f t="shared" si="118"/>
        <v>128.38824472356964</v>
      </c>
      <c r="AV604" s="7"/>
      <c r="AX604" s="7">
        <f t="shared" si="119"/>
        <v>-58.227665740570018</v>
      </c>
      <c r="AY604" s="7">
        <f t="shared" si="120"/>
        <v>-32.769772602773287</v>
      </c>
      <c r="BB604" s="7">
        <f t="shared" si="121"/>
        <v>-11.113308466281831</v>
      </c>
      <c r="BC604" s="7">
        <f t="shared" si="122"/>
        <v>-3.8664807210647814</v>
      </c>
      <c r="BF604" s="7">
        <f t="shared" si="123"/>
        <v>-29.874410751368085</v>
      </c>
      <c r="BG604" s="7">
        <f t="shared" si="124"/>
        <v>-19.296631141548076</v>
      </c>
      <c r="BI604" s="10">
        <f t="shared" si="125"/>
        <v>-99.215384958219943</v>
      </c>
      <c r="BJ604">
        <f t="shared" si="126"/>
        <v>-55.932884465386145</v>
      </c>
    </row>
    <row r="605" spans="42:62" x14ac:dyDescent="0.25">
      <c r="AP605" s="1">
        <v>600</v>
      </c>
      <c r="AQ605" s="7">
        <f t="shared" si="115"/>
        <v>95075.242783281181</v>
      </c>
      <c r="AR605" s="7">
        <f t="shared" si="116"/>
        <v>50554.959589068909</v>
      </c>
      <c r="AS605" s="7"/>
      <c r="AT605" s="7">
        <f t="shared" si="117"/>
        <v>-2677.2722115180181</v>
      </c>
      <c r="AU605" s="7">
        <f t="shared" si="118"/>
        <v>100.42180249087657</v>
      </c>
      <c r="AV605" s="7"/>
      <c r="AX605" s="7">
        <f t="shared" si="119"/>
        <v>-59.4471238819484</v>
      </c>
      <c r="AY605" s="7">
        <f t="shared" si="120"/>
        <v>-34.0923774807112</v>
      </c>
      <c r="BB605" s="7">
        <f t="shared" si="121"/>
        <v>-11.321982416436141</v>
      </c>
      <c r="BC605" s="7">
        <f t="shared" si="122"/>
        <v>-3.9901070661345268</v>
      </c>
      <c r="BF605" s="7">
        <f t="shared" si="123"/>
        <v>-30.28419126140361</v>
      </c>
      <c r="BG605" s="7">
        <f t="shared" si="124"/>
        <v>-19.837862783187902</v>
      </c>
      <c r="BI605" s="10">
        <f t="shared" si="125"/>
        <v>-101.05329755978815</v>
      </c>
      <c r="BJ605">
        <f t="shared" si="126"/>
        <v>-57.920347330033628</v>
      </c>
    </row>
    <row r="606" spans="42:62" x14ac:dyDescent="0.25">
      <c r="AP606" s="1">
        <v>601</v>
      </c>
      <c r="AQ606" s="7">
        <f t="shared" si="115"/>
        <v>93723.975015327203</v>
      </c>
      <c r="AR606" s="7">
        <f t="shared" si="116"/>
        <v>50597.930446898092</v>
      </c>
      <c r="AS606" s="7"/>
      <c r="AT606" s="7">
        <f t="shared" si="117"/>
        <v>-2727.7988602979121</v>
      </c>
      <c r="AU606" s="7">
        <f t="shared" si="118"/>
        <v>71.461628825859762</v>
      </c>
      <c r="AV606" s="7"/>
      <c r="AX606" s="7">
        <f t="shared" si="119"/>
        <v>-60.730465499999511</v>
      </c>
      <c r="AY606" s="7">
        <f t="shared" si="120"/>
        <v>-35.502119596543388</v>
      </c>
      <c r="BB606" s="7">
        <f t="shared" si="121"/>
        <v>-11.541530199440327</v>
      </c>
      <c r="BC606" s="7">
        <f t="shared" si="122"/>
        <v>-4.120171144426684</v>
      </c>
      <c r="BF606" s="7">
        <f t="shared" si="123"/>
        <v>-30.712069071914968</v>
      </c>
      <c r="BG606" s="7">
        <f t="shared" si="124"/>
        <v>-20.406878577843205</v>
      </c>
      <c r="BI606" s="10">
        <f t="shared" si="125"/>
        <v>-102.98406477135481</v>
      </c>
      <c r="BJ606">
        <f t="shared" si="126"/>
        <v>-60.029169318813274</v>
      </c>
    </row>
    <row r="607" spans="42:62" x14ac:dyDescent="0.25">
      <c r="AP607" s="1">
        <v>602</v>
      </c>
      <c r="AQ607" s="7">
        <f t="shared" si="115"/>
        <v>92347.202577081829</v>
      </c>
      <c r="AR607" s="7">
        <f t="shared" si="116"/>
        <v>50626.15761514617</v>
      </c>
      <c r="AS607" s="7"/>
      <c r="AT607" s="7">
        <f t="shared" si="117"/>
        <v>-2779.2908926835894</v>
      </c>
      <c r="AU607" s="7">
        <f t="shared" si="118"/>
        <v>41.447044166453125</v>
      </c>
      <c r="AV607" s="7"/>
      <c r="AX607" s="7">
        <f t="shared" si="119"/>
        <v>-62.082076873844066</v>
      </c>
      <c r="AY607" s="7">
        <f t="shared" si="120"/>
        <v>-37.007117579763282</v>
      </c>
      <c r="BB607" s="7">
        <f t="shared" si="121"/>
        <v>-11.772745783374369</v>
      </c>
      <c r="BC607" s="7">
        <f t="shared" si="122"/>
        <v>-4.2571725400128582</v>
      </c>
      <c r="BF607" s="7">
        <f t="shared" si="123"/>
        <v>-31.15906549483946</v>
      </c>
      <c r="BG607" s="7">
        <f t="shared" si="124"/>
        <v>-21.005737085108699</v>
      </c>
      <c r="BI607" s="10">
        <f t="shared" si="125"/>
        <v>-105.01388815205789</v>
      </c>
      <c r="BJ607">
        <f t="shared" si="126"/>
        <v>-62.27002720488484</v>
      </c>
    </row>
    <row r="608" spans="42:62" x14ac:dyDescent="0.25">
      <c r="AP608" s="1">
        <v>603</v>
      </c>
      <c r="AQ608" s="7">
        <f t="shared" si="115"/>
        <v>90944.430394721028</v>
      </c>
      <c r="AR608" s="7">
        <f t="shared" si="116"/>
        <v>50639.09738382879</v>
      </c>
      <c r="AS608" s="7"/>
      <c r="AT608" s="7">
        <f t="shared" si="117"/>
        <v>-2831.7978367596183</v>
      </c>
      <c r="AU608" s="7">
        <f t="shared" si="118"/>
        <v>10.312030564010705</v>
      </c>
      <c r="AV608" s="7"/>
      <c r="AX608" s="7">
        <f t="shared" si="119"/>
        <v>-63.50672805300109</v>
      </c>
      <c r="AY608" s="7">
        <f t="shared" si="120"/>
        <v>-38.616462360244711</v>
      </c>
      <c r="BB608" s="7">
        <f t="shared" si="121"/>
        <v>-12.016503309051412</v>
      </c>
      <c r="BC608" s="7">
        <f t="shared" si="122"/>
        <v>-4.4016616828101496</v>
      </c>
      <c r="BF608" s="7">
        <f t="shared" si="123"/>
        <v>-31.626283081152476</v>
      </c>
      <c r="BG608" s="7">
        <f t="shared" si="124"/>
        <v>-21.636698102347836</v>
      </c>
      <c r="BI608" s="10">
        <f t="shared" si="125"/>
        <v>-107.14951444320498</v>
      </c>
      <c r="BJ608">
        <f t="shared" si="126"/>
        <v>-64.654822145402704</v>
      </c>
    </row>
    <row r="609" spans="42:62" x14ac:dyDescent="0.25">
      <c r="AP609" s="1">
        <v>604</v>
      </c>
      <c r="AQ609" s="7">
        <f t="shared" si="115"/>
        <v>89515.137787035812</v>
      </c>
      <c r="AR609" s="7">
        <f t="shared" si="116"/>
        <v>50636.171546342615</v>
      </c>
      <c r="AS609" s="7"/>
      <c r="AT609" s="7">
        <f t="shared" si="117"/>
        <v>-2885.3725939812207</v>
      </c>
      <c r="AU609" s="7">
        <f t="shared" si="118"/>
        <v>-22.015380508690647</v>
      </c>
      <c r="AV609" s="7"/>
      <c r="AX609" s="7">
        <f t="shared" si="119"/>
        <v>-65.009610474431327</v>
      </c>
      <c r="AY609" s="7">
        <f t="shared" si="120"/>
        <v>-40.340360371247968</v>
      </c>
      <c r="BB609" s="7">
        <f t="shared" si="121"/>
        <v>-12.273767385101284</v>
      </c>
      <c r="BC609" s="7">
        <f t="shared" si="122"/>
        <v>-4.5542463540590354</v>
      </c>
      <c r="BF609" s="7">
        <f t="shared" si="123"/>
        <v>-32.114913678877848</v>
      </c>
      <c r="BG609" s="7">
        <f t="shared" si="124"/>
        <v>-22.302247373033413</v>
      </c>
      <c r="BI609" s="10">
        <f t="shared" si="125"/>
        <v>-109.39829153841046</v>
      </c>
      <c r="BJ609">
        <f t="shared" si="126"/>
        <v>-67.196854098340424</v>
      </c>
    </row>
    <row r="610" spans="42:62" x14ac:dyDescent="0.25">
      <c r="AP610" s="1">
        <v>605</v>
      </c>
      <c r="AQ610" s="7">
        <f t="shared" si="115"/>
        <v>88058.776703602911</v>
      </c>
      <c r="AR610" s="7">
        <f t="shared" si="116"/>
        <v>50616.764249325977</v>
      </c>
      <c r="AS610" s="7"/>
      <c r="AT610" s="7">
        <f t="shared" si="117"/>
        <v>-2940.0717397504259</v>
      </c>
      <c r="AU610" s="7">
        <f t="shared" si="118"/>
        <v>-55.613807557860859</v>
      </c>
      <c r="AV610" s="7"/>
      <c r="AX610" s="7">
        <f t="shared" si="119"/>
        <v>-66.596378048616188</v>
      </c>
      <c r="AY610" s="7">
        <f t="shared" si="120"/>
        <v>-42.190301842865239</v>
      </c>
      <c r="BB610" s="7">
        <f t="shared" si="121"/>
        <v>-12.545605006576528</v>
      </c>
      <c r="BC610" s="7">
        <f t="shared" si="122"/>
        <v>-4.715599199452094</v>
      </c>
      <c r="BF610" s="7">
        <f t="shared" si="123"/>
        <v>-32.626247466208447</v>
      </c>
      <c r="BG610" s="7">
        <f t="shared" si="124"/>
        <v>-23.005124977615178</v>
      </c>
      <c r="BI610" s="10">
        <f t="shared" si="125"/>
        <v>-111.76823052140116</v>
      </c>
      <c r="BJ610">
        <f t="shared" si="126"/>
        <v>-69.911026019932507</v>
      </c>
    </row>
    <row r="611" spans="42:62" x14ac:dyDescent="0.25">
      <c r="AP611" s="1">
        <v>606</v>
      </c>
      <c r="AQ611" s="7">
        <f t="shared" si="115"/>
        <v>86574.769804912532</v>
      </c>
      <c r="AR611" s="7">
        <f t="shared" si="116"/>
        <v>50580.218467294551</v>
      </c>
      <c r="AS611" s="7"/>
      <c r="AT611" s="7">
        <f t="shared" si="117"/>
        <v>-2995.9558550111265</v>
      </c>
      <c r="AU611" s="7">
        <f t="shared" si="118"/>
        <v>-90.569320567827106</v>
      </c>
      <c r="AV611" s="7"/>
      <c r="AX611" s="7">
        <f t="shared" si="119"/>
        <v>-68.273191787697641</v>
      </c>
      <c r="AY611" s="7">
        <f t="shared" si="120"/>
        <v>-44.179259294359333</v>
      </c>
      <c r="BB611" s="7">
        <f t="shared" si="121"/>
        <v>-12.833199402700366</v>
      </c>
      <c r="BC611" s="7">
        <f t="shared" si="122"/>
        <v>-4.8864664343092006</v>
      </c>
      <c r="BF611" s="7">
        <f t="shared" si="123"/>
        <v>-33.161683099033745</v>
      </c>
      <c r="BG611" s="7">
        <f t="shared" si="124"/>
        <v>-23.748358057692418</v>
      </c>
      <c r="BI611" s="10">
        <f t="shared" si="125"/>
        <v>-114.26807428943175</v>
      </c>
      <c r="BJ611">
        <f t="shared" si="126"/>
        <v>-72.814083786360953</v>
      </c>
    </row>
    <row r="612" spans="42:62" x14ac:dyDescent="0.25">
      <c r="AP612" s="1">
        <v>607</v>
      </c>
      <c r="AQ612" s="7">
        <f t="shared" si="115"/>
        <v>85062.508368120791</v>
      </c>
      <c r="AR612" s="7">
        <f t="shared" si="116"/>
        <v>50525.832046537347</v>
      </c>
      <c r="AS612" s="7"/>
      <c r="AT612" s="7">
        <f t="shared" si="117"/>
        <v>-3053.0898921558423</v>
      </c>
      <c r="AU612" s="7">
        <f t="shared" si="118"/>
        <v>-126.97636246100758</v>
      </c>
      <c r="AV612" s="7"/>
      <c r="AX612" s="7">
        <f t="shared" si="119"/>
        <v>-70.046767912174332</v>
      </c>
      <c r="AY612" s="7">
        <f t="shared" si="120"/>
        <v>-46.321922520108387</v>
      </c>
      <c r="BB612" s="7">
        <f t="shared" si="121"/>
        <v>-13.137866186697609</v>
      </c>
      <c r="BC612" s="7">
        <f t="shared" si="122"/>
        <v>-5.0676779643074177</v>
      </c>
      <c r="BF612" s="7">
        <f t="shared" si="123"/>
        <v>-33.722739135210965</v>
      </c>
      <c r="BG612" s="7">
        <f t="shared" si="124"/>
        <v>-24.535298658250472</v>
      </c>
      <c r="BI612" s="10">
        <f t="shared" si="125"/>
        <v>-116.90737323408291</v>
      </c>
      <c r="BJ612">
        <f t="shared" si="126"/>
        <v>-75.924899142666277</v>
      </c>
    </row>
    <row r="613" spans="42:62" x14ac:dyDescent="0.25">
      <c r="AP613" s="1">
        <v>608</v>
      </c>
      <c r="AQ613" s="7">
        <f t="shared" si="115"/>
        <v>83521.350000388615</v>
      </c>
      <c r="AR613" s="7">
        <f t="shared" si="116"/>
        <v>50452.853252914014</v>
      </c>
      <c r="AS613" s="7"/>
      <c r="AT613" s="7">
        <f t="shared" si="117"/>
        <v>-3111.5435787728838</v>
      </c>
      <c r="AU613" s="7">
        <f t="shared" si="118"/>
        <v>-164.93881203234071</v>
      </c>
      <c r="AV613" s="7"/>
      <c r="AX613" s="7">
        <f t="shared" si="119"/>
        <v>-71.924429156756389</v>
      </c>
      <c r="AY613" s="7">
        <f t="shared" si="120"/>
        <v>-48.634977859426272</v>
      </c>
      <c r="BB613" s="7">
        <f t="shared" si="121"/>
        <v>-13.461072265059991</v>
      </c>
      <c r="BC613" s="7">
        <f t="shared" si="122"/>
        <v>-5.2601591938599963</v>
      </c>
      <c r="BF613" s="7">
        <f t="shared" si="123"/>
        <v>-34.311066925274631</v>
      </c>
      <c r="BG613" s="7">
        <f t="shared" si="124"/>
        <v>-25.369667638383881</v>
      </c>
      <c r="BI613" s="10">
        <f t="shared" si="125"/>
        <v>-119.69656834709102</v>
      </c>
      <c r="BJ613">
        <f t="shared" si="126"/>
        <v>-79.26480469167015</v>
      </c>
    </row>
    <row r="614" spans="42:62" x14ac:dyDescent="0.25">
      <c r="AP614" s="1">
        <v>609</v>
      </c>
      <c r="AQ614" s="7">
        <f t="shared" si="115"/>
        <v>81950.616139958787</v>
      </c>
      <c r="AR614" s="7">
        <f t="shared" si="116"/>
        <v>50360.475746311386</v>
      </c>
      <c r="AS614" s="7"/>
      <c r="AT614" s="7">
        <f t="shared" si="117"/>
        <v>-3171.3918629464292</v>
      </c>
      <c r="AU614" s="7">
        <f t="shared" si="118"/>
        <v>-204.5712143781758</v>
      </c>
      <c r="AV614" s="7"/>
      <c r="AX614" s="7">
        <f t="shared" si="119"/>
        <v>-73.914158663165864</v>
      </c>
      <c r="AY614" s="7">
        <f t="shared" si="120"/>
        <v>-51.137441434553253</v>
      </c>
      <c r="BB614" s="7">
        <f t="shared" si="121"/>
        <v>-13.804458070038127</v>
      </c>
      <c r="BC614" s="7">
        <f t="shared" si="122"/>
        <v>-5.4649448548881674</v>
      </c>
      <c r="BF614" s="7">
        <f t="shared" si="123"/>
        <v>-34.928465191899058</v>
      </c>
      <c r="BG614" s="7">
        <f t="shared" si="124"/>
        <v>-26.255605806821393</v>
      </c>
      <c r="BI614" s="10">
        <f t="shared" si="125"/>
        <v>-122.64708192510305</v>
      </c>
      <c r="BJ614">
        <f t="shared" si="126"/>
        <v>-82.857992096262819</v>
      </c>
    </row>
    <row r="615" spans="42:62" x14ac:dyDescent="0.25">
      <c r="AP615" s="1">
        <v>610</v>
      </c>
      <c r="AQ615" s="7">
        <f t="shared" si="115"/>
        <v>80349.589323244945</v>
      </c>
      <c r="AR615" s="7">
        <f t="shared" si="116"/>
        <v>50247.832890110265</v>
      </c>
      <c r="AS615" s="7"/>
      <c r="AT615" s="7">
        <f t="shared" si="117"/>
        <v>-3232.7154039089805</v>
      </c>
      <c r="AU615" s="7">
        <f t="shared" si="118"/>
        <v>-246.00021042630721</v>
      </c>
      <c r="AV615" s="7"/>
      <c r="AX615" s="7">
        <f t="shared" si="119"/>
        <v>-76.024655343015013</v>
      </c>
      <c r="AY615" s="7">
        <f t="shared" si="120"/>
        <v>-53.851058450859568</v>
      </c>
      <c r="BB615" s="7">
        <f t="shared" si="121"/>
        <v>-14.169863814160989</v>
      </c>
      <c r="BC615" s="7">
        <f t="shared" si="122"/>
        <v>-5.6831952648147643</v>
      </c>
      <c r="BF615" s="7">
        <f t="shared" si="123"/>
        <v>-35.57689655941995</v>
      </c>
      <c r="BG615" s="7">
        <f t="shared" si="124"/>
        <v>-27.197733695779625</v>
      </c>
      <c r="BI615" s="10">
        <f t="shared" si="125"/>
        <v>-125.77141571659595</v>
      </c>
      <c r="BJ615">
        <f t="shared" si="126"/>
        <v>-86.731987411453957</v>
      </c>
    </row>
    <row r="616" spans="42:62" x14ac:dyDescent="0.25">
      <c r="AP616" s="1">
        <v>611</v>
      </c>
      <c r="AQ616" s="7">
        <f t="shared" si="115"/>
        <v>78717.510194325878</v>
      </c>
      <c r="AR616" s="7">
        <f t="shared" si="116"/>
        <v>50113.991286470678</v>
      </c>
      <c r="AS616" s="7"/>
      <c r="AT616" s="7">
        <f t="shared" si="117"/>
        <v>-3295.6011117672783</v>
      </c>
      <c r="AU616" s="7">
        <f t="shared" si="118"/>
        <v>-289.36620413203417</v>
      </c>
      <c r="AV616" s="7"/>
      <c r="AX616" s="7">
        <f t="shared" si="119"/>
        <v>-78.265388836742119</v>
      </c>
      <c r="AY616" s="7">
        <f t="shared" si="120"/>
        <v>-56.800783733562717</v>
      </c>
      <c r="BB616" s="7">
        <f t="shared" si="121"/>
        <v>-14.55936063792287</v>
      </c>
      <c r="BC616" s="7">
        <f t="shared" si="122"/>
        <v>-5.9162155185695866</v>
      </c>
      <c r="BF616" s="7">
        <f t="shared" si="123"/>
        <v>-36.258506341473996</v>
      </c>
      <c r="BG616" s="7">
        <f t="shared" si="124"/>
        <v>-28.201221709758837</v>
      </c>
      <c r="BI616" s="10">
        <f t="shared" si="125"/>
        <v>-129.083255816139</v>
      </c>
      <c r="BJ616">
        <f t="shared" si="126"/>
        <v>-90.918220961891137</v>
      </c>
    </row>
    <row r="617" spans="42:62" x14ac:dyDescent="0.25">
      <c r="AP617" s="1">
        <v>612</v>
      </c>
      <c r="AQ617" s="7">
        <f t="shared" si="115"/>
        <v>77053.574231465216</v>
      </c>
      <c r="AR617" s="7">
        <f t="shared" si="116"/>
        <v>49957.943406784427</v>
      </c>
      <c r="AS617" s="7"/>
      <c r="AT617" s="7">
        <f t="shared" si="117"/>
        <v>-3360.1427396753479</v>
      </c>
      <c r="AU617" s="7">
        <f t="shared" si="118"/>
        <v>-334.82531461297975</v>
      </c>
      <c r="AV617" s="7"/>
      <c r="AX617" s="7">
        <f t="shared" si="119"/>
        <v>-80.646651065620972</v>
      </c>
      <c r="AY617" s="7">
        <f t="shared" si="120"/>
        <v>-60.015362630908228</v>
      </c>
      <c r="BB617" s="7">
        <f t="shared" si="121"/>
        <v>-14.975287743184602</v>
      </c>
      <c r="BC617" s="7">
        <f t="shared" si="122"/>
        <v>-6.1654782410732141</v>
      </c>
      <c r="BF617" s="7">
        <f t="shared" si="123"/>
        <v>-36.975643951079292</v>
      </c>
      <c r="BG617" s="7">
        <f t="shared" si="124"/>
        <v>-29.271872794086939</v>
      </c>
      <c r="BI617" s="10">
        <f t="shared" si="125"/>
        <v>-132.59758275988486</v>
      </c>
      <c r="BJ617">
        <f t="shared" si="126"/>
        <v>-95.452713666068377</v>
      </c>
    </row>
    <row r="618" spans="42:62" x14ac:dyDescent="0.25">
      <c r="AP618" s="1">
        <v>613</v>
      </c>
      <c r="AQ618" s="7">
        <f t="shared" si="115"/>
        <v>75356.928163782548</v>
      </c>
      <c r="AR618" s="7">
        <f t="shared" si="116"/>
        <v>49778.599160269674</v>
      </c>
      <c r="AS618" s="7"/>
      <c r="AT618" s="7">
        <f t="shared" si="117"/>
        <v>-3426.4415310552904</v>
      </c>
      <c r="AU618" s="7">
        <f t="shared" si="118"/>
        <v>-382.55167144601393</v>
      </c>
      <c r="AV618" s="7"/>
      <c r="AX618" s="7">
        <f t="shared" si="119"/>
        <v>-83.179599696269193</v>
      </c>
      <c r="AY618" s="7">
        <f t="shared" si="120"/>
        <v>-63.528036517226354</v>
      </c>
      <c r="BB618" s="7">
        <f t="shared" si="121"/>
        <v>-15.420296891284544</v>
      </c>
      <c r="BC618" s="7">
        <f t="shared" si="122"/>
        <v>-6.4326506818382878</v>
      </c>
      <c r="BF618" s="7">
        <f t="shared" si="123"/>
        <v>-37.730887365405472</v>
      </c>
      <c r="BG618" s="7">
        <f t="shared" si="124"/>
        <v>-30.416220286858636</v>
      </c>
      <c r="BI618" s="10">
        <f t="shared" si="125"/>
        <v>-136.33078395295922</v>
      </c>
      <c r="BJ618">
        <f t="shared" si="126"/>
        <v>-100.37690748592328</v>
      </c>
    </row>
    <row r="619" spans="42:62" x14ac:dyDescent="0.25">
      <c r="AP619" s="1">
        <v>614</v>
      </c>
      <c r="AQ619" s="7">
        <f t="shared" si="115"/>
        <v>73626.666050260785</v>
      </c>
      <c r="AR619" s="7">
        <f t="shared" si="116"/>
        <v>49574.776211110926</v>
      </c>
      <c r="AS619" s="7"/>
      <c r="AT619" s="7">
        <f t="shared" si="117"/>
        <v>-3494.6069230317698</v>
      </c>
      <c r="AU619" s="7">
        <f t="shared" si="118"/>
        <v>-432.74012518897558</v>
      </c>
      <c r="AV619" s="7"/>
      <c r="AX619" s="7">
        <f t="shared" si="119"/>
        <v>-85.876286346858578</v>
      </c>
      <c r="AY619" s="7">
        <f t="shared" si="120"/>
        <v>-67.377403743483015</v>
      </c>
      <c r="BB619" s="7">
        <f t="shared" si="121"/>
        <v>-15.897406018136429</v>
      </c>
      <c r="BC619" s="7">
        <f t="shared" si="122"/>
        <v>-6.71962713237256</v>
      </c>
      <c r="BF619" s="7">
        <f t="shared" si="123"/>
        <v>-38.52707115973945</v>
      </c>
      <c r="BG619" s="7">
        <f t="shared" si="124"/>
        <v>-31.641644281590004</v>
      </c>
      <c r="BI619" s="10">
        <f t="shared" si="125"/>
        <v>-140.30076352473446</v>
      </c>
      <c r="BJ619">
        <f t="shared" si="126"/>
        <v>-105.73867515744558</v>
      </c>
    </row>
    <row r="620" spans="42:62" x14ac:dyDescent="0.25">
      <c r="AP620" s="1">
        <v>615</v>
      </c>
      <c r="AQ620" s="7">
        <f t="shared" si="115"/>
        <v>71861.824993304312</v>
      </c>
      <c r="AR620" s="7">
        <f t="shared" si="116"/>
        <v>49345.188814121757</v>
      </c>
      <c r="AS620" s="7"/>
      <c r="AT620" s="7">
        <f t="shared" si="117"/>
        <v>-3564.7573047941369</v>
      </c>
      <c r="AU620" s="7">
        <f t="shared" si="118"/>
        <v>-485.60946276769835</v>
      </c>
      <c r="AV620" s="7"/>
      <c r="AX620" s="7">
        <f t="shared" si="119"/>
        <v>-88.749658664950857</v>
      </c>
      <c r="AY620" s="7">
        <f t="shared" si="120"/>
        <v>-71.608475492391449</v>
      </c>
      <c r="BB620" s="7">
        <f t="shared" si="121"/>
        <v>-16.410064208778518</v>
      </c>
      <c r="BC620" s="7">
        <f t="shared" si="122"/>
        <v>-7.0285679039504538</v>
      </c>
      <c r="BF620" s="7">
        <f t="shared" si="123"/>
        <v>-39.367318725168033</v>
      </c>
      <c r="BG620" s="7">
        <f t="shared" si="124"/>
        <v>-32.956510682608879</v>
      </c>
      <c r="BI620" s="10">
        <f t="shared" si="125"/>
        <v>-144.52704159889743</v>
      </c>
      <c r="BJ620">
        <f t="shared" si="126"/>
        <v>-111.59355407895077</v>
      </c>
    </row>
    <row r="621" spans="42:62" x14ac:dyDescent="0.25">
      <c r="AP621" s="1">
        <v>616</v>
      </c>
      <c r="AQ621" s="7">
        <f t="shared" si="115"/>
        <v>70061.380460707383</v>
      </c>
      <c r="AR621" s="7">
        <f t="shared" si="116"/>
        <v>49088.434888478041</v>
      </c>
      <c r="AS621" s="7"/>
      <c r="AT621" s="7">
        <f t="shared" si="117"/>
        <v>-3637.0208255935854</v>
      </c>
      <c r="AU621" s="7">
        <f t="shared" si="118"/>
        <v>-541.40623980717373</v>
      </c>
      <c r="AV621" s="7"/>
      <c r="AX621" s="7">
        <f t="shared" si="119"/>
        <v>-91.813519899140005</v>
      </c>
      <c r="AY621" s="7">
        <f t="shared" si="120"/>
        <v>-76.273977246879383</v>
      </c>
      <c r="BB621" s="7">
        <f t="shared" si="121"/>
        <v>-16.962230922791186</v>
      </c>
      <c r="BC621" s="7">
        <f t="shared" si="122"/>
        <v>-7.3619464369427714</v>
      </c>
      <c r="BF621" s="7">
        <f t="shared" si="123"/>
        <v>-40.255079406446214</v>
      </c>
      <c r="BG621" s="7">
        <f t="shared" si="124"/>
        <v>-34.370338243659695</v>
      </c>
      <c r="BI621" s="10">
        <f t="shared" si="125"/>
        <v>-149.0308302283774</v>
      </c>
      <c r="BJ621">
        <f t="shared" si="126"/>
        <v>-118.00626192748186</v>
      </c>
    </row>
    <row r="622" spans="42:62" x14ac:dyDescent="0.25">
      <c r="AP622" s="1">
        <v>617</v>
      </c>
      <c r="AQ622" s="7">
        <f t="shared" si="115"/>
        <v>68224.241194132046</v>
      </c>
      <c r="AR622" s="7">
        <f t="shared" si="116"/>
        <v>48802.980985833521</v>
      </c>
      <c r="AS622" s="7"/>
      <c r="AT622" s="7">
        <f t="shared" si="117"/>
        <v>-3711.5362407077741</v>
      </c>
      <c r="AU622" s="7">
        <f t="shared" si="118"/>
        <v>-600.40937077091462</v>
      </c>
      <c r="AV622" s="7"/>
      <c r="AX622" s="7">
        <f t="shared" si="119"/>
        <v>-95.082421357597539</v>
      </c>
      <c r="AY622" s="7">
        <f t="shared" si="120"/>
        <v>-81.435961337588125</v>
      </c>
      <c r="BB622" s="7">
        <f t="shared" si="121"/>
        <v>-17.558473228514895</v>
      </c>
      <c r="BC622" s="7">
        <f t="shared" si="122"/>
        <v>-7.7226065489996678</v>
      </c>
      <c r="BF622" s="7">
        <f t="shared" si="123"/>
        <v>-41.194171445793131</v>
      </c>
      <c r="BG622" s="7">
        <f t="shared" si="124"/>
        <v>-35.894000328592405</v>
      </c>
      <c r="BI622" s="10">
        <f t="shared" si="125"/>
        <v>-153.83506603190557</v>
      </c>
      <c r="BJ622">
        <f t="shared" si="126"/>
        <v>-125.0525682151802</v>
      </c>
    </row>
    <row r="623" spans="42:62" x14ac:dyDescent="0.25">
      <c r="AP623" s="1">
        <v>618</v>
      </c>
      <c r="AQ623" s="7">
        <f t="shared" si="115"/>
        <v>66349.243690524178</v>
      </c>
      <c r="AR623" s="7">
        <f t="shared" si="116"/>
        <v>48487.144729421168</v>
      </c>
      <c r="AS623" s="7"/>
      <c r="AT623" s="7">
        <f t="shared" si="117"/>
        <v>-3788.453773723727</v>
      </c>
      <c r="AU623" s="7">
        <f t="shared" si="118"/>
        <v>-662.93565487850469</v>
      </c>
      <c r="AV623" s="7"/>
      <c r="AX623" s="7">
        <f t="shared" si="119"/>
        <v>-98.571450794905559</v>
      </c>
      <c r="AY623" s="7">
        <f t="shared" si="120"/>
        <v>-87.167815442602318</v>
      </c>
      <c r="BB623" s="7">
        <f t="shared" si="121"/>
        <v>-18.204085971557475</v>
      </c>
      <c r="BC623" s="7">
        <f t="shared" si="122"/>
        <v>-8.1138324032714522</v>
      </c>
      <c r="BF623" s="7">
        <f t="shared" si="123"/>
        <v>-42.1888318016426</v>
      </c>
      <c r="BG623" s="7">
        <f t="shared" si="124"/>
        <v>-37.539970040520721</v>
      </c>
      <c r="BI623" s="10">
        <f t="shared" si="125"/>
        <v>-158.96436856810564</v>
      </c>
      <c r="BJ623">
        <f t="shared" si="126"/>
        <v>-132.82161788639451</v>
      </c>
    </row>
    <row r="624" spans="42:62" x14ac:dyDescent="0.25">
      <c r="AP624" s="1">
        <v>619</v>
      </c>
      <c r="AQ624" s="7">
        <f t="shared" si="115"/>
        <v>64435.146257591303</v>
      </c>
      <c r="AR624" s="7">
        <f t="shared" si="116"/>
        <v>48139.074199746123</v>
      </c>
      <c r="AS624" s="7"/>
      <c r="AT624" s="7">
        <f t="shared" si="117"/>
        <v>-3867.9359580077798</v>
      </c>
      <c r="AU624" s="7">
        <f t="shared" si="118"/>
        <v>-729.34646382170195</v>
      </c>
      <c r="AV624" s="7"/>
      <c r="AX624" s="7">
        <f t="shared" si="119"/>
        <v>-102.29586112575558</v>
      </c>
      <c r="AY624" s="7">
        <f t="shared" si="120"/>
        <v>-93.556777477834643</v>
      </c>
      <c r="BB624" s="7">
        <f t="shared" si="121"/>
        <v>-18.90524139143545</v>
      </c>
      <c r="BC624" s="7">
        <f t="shared" si="122"/>
        <v>-8.5394345382239774</v>
      </c>
      <c r="BF624" s="7">
        <f t="shared" si="123"/>
        <v>-43.243774137170448</v>
      </c>
      <c r="BG624" s="7">
        <f t="shared" si="124"/>
        <v>-39.322619899073914</v>
      </c>
      <c r="BI624" s="10">
        <f t="shared" si="125"/>
        <v>-164.44487665436148</v>
      </c>
      <c r="BJ624">
        <f t="shared" si="126"/>
        <v>-141.41883191513253</v>
      </c>
    </row>
    <row r="625" spans="42:62" x14ac:dyDescent="0.25">
      <c r="AP625" s="1">
        <v>620</v>
      </c>
      <c r="AQ625" s="7">
        <f t="shared" si="115"/>
        <v>62480.622669005614</v>
      </c>
      <c r="AR625" s="7">
        <f t="shared" si="116"/>
        <v>47756.723613845883</v>
      </c>
      <c r="AS625" s="7"/>
      <c r="AT625" s="7">
        <f t="shared" si="117"/>
        <v>-3950.1583963349608</v>
      </c>
      <c r="AU625" s="7">
        <f t="shared" si="118"/>
        <v>-800.05587977926825</v>
      </c>
      <c r="AV625" s="7"/>
      <c r="AX625" s="7">
        <f t="shared" si="119"/>
        <v>-106.27045554561192</v>
      </c>
      <c r="AY625" s="7">
        <f t="shared" si="120"/>
        <v>-100.7071009893306</v>
      </c>
      <c r="BB625" s="7">
        <f t="shared" si="121"/>
        <v>-19.66917688309978</v>
      </c>
      <c r="BC625" s="7">
        <f t="shared" si="122"/>
        <v>-9.0038563150434836</v>
      </c>
      <c r="BF625" s="7">
        <f t="shared" si="123"/>
        <v>-44.364256552442413</v>
      </c>
      <c r="BG625" s="7">
        <f t="shared" si="124"/>
        <v>-41.258590639445359</v>
      </c>
      <c r="BI625" s="10">
        <f t="shared" si="125"/>
        <v>-170.3038889811541</v>
      </c>
      <c r="BJ625">
        <f t="shared" si="126"/>
        <v>-150.96954794381944</v>
      </c>
    </row>
    <row r="626" spans="42:62" x14ac:dyDescent="0.25">
      <c r="AP626" s="1">
        <v>621</v>
      </c>
      <c r="AQ626" s="7">
        <f t="shared" si="115"/>
        <v>60484.25548471549</v>
      </c>
      <c r="AR626" s="7">
        <f t="shared" si="116"/>
        <v>47337.824480463278</v>
      </c>
      <c r="AS626" s="7"/>
      <c r="AT626" s="7">
        <f t="shared" si="117"/>
        <v>-4035.3103408255379</v>
      </c>
      <c r="AU626" s="7">
        <f t="shared" si="118"/>
        <v>-875.54065375117796</v>
      </c>
      <c r="AV626" s="7"/>
      <c r="AX626" s="7">
        <f t="shared" si="119"/>
        <v>-110.50860181553092</v>
      </c>
      <c r="AY626" s="7">
        <f t="shared" si="120"/>
        <v>-108.74405938799161</v>
      </c>
      <c r="BB626" s="7">
        <f t="shared" si="121"/>
        <v>-20.504432632704543</v>
      </c>
      <c r="BC626" s="7">
        <f t="shared" si="122"/>
        <v>-9.5123065014473145</v>
      </c>
      <c r="BF626" s="7">
        <f t="shared" si="123"/>
        <v>-45.556160979679767</v>
      </c>
      <c r="BG626" s="7">
        <f t="shared" si="124"/>
        <v>-43.367248297078895</v>
      </c>
      <c r="BI626" s="10">
        <f t="shared" si="125"/>
        <v>-176.56919542791525</v>
      </c>
      <c r="BJ626">
        <f t="shared" si="126"/>
        <v>-161.62361418651781</v>
      </c>
    </row>
    <row r="627" spans="42:62" x14ac:dyDescent="0.25">
      <c r="AP627" s="1">
        <v>622</v>
      </c>
      <c r="AQ627" s="7">
        <f t="shared" si="115"/>
        <v>58444.529164874228</v>
      </c>
      <c r="AR627" s="7">
        <f t="shared" si="116"/>
        <v>46879.851201814374</v>
      </c>
      <c r="AS627" s="7"/>
      <c r="AT627" s="7">
        <f t="shared" si="117"/>
        <v>-4123.5949385394952</v>
      </c>
      <c r="AU627" s="7">
        <f t="shared" si="118"/>
        <v>-956.35246084443691</v>
      </c>
      <c r="AV627" s="7"/>
      <c r="AX627" s="7">
        <f t="shared" si="119"/>
        <v>-115.02068167700727</v>
      </c>
      <c r="AY627" s="7">
        <f t="shared" si="120"/>
        <v>-117.819035060788</v>
      </c>
      <c r="BB627" s="7">
        <f t="shared" si="121"/>
        <v>-21.421155118582618</v>
      </c>
      <c r="BC627" s="7">
        <f t="shared" si="122"/>
        <v>-10.070925554080072</v>
      </c>
      <c r="BF627" s="7">
        <f t="shared" si="123"/>
        <v>-46.82608659029097</v>
      </c>
      <c r="BG627" s="7">
        <f t="shared" si="124"/>
        <v>-45.671255011452089</v>
      </c>
      <c r="BI627" s="10">
        <f t="shared" si="125"/>
        <v>-183.26792338588086</v>
      </c>
      <c r="BJ627">
        <f t="shared" si="126"/>
        <v>-173.56121562632015</v>
      </c>
    </row>
    <row r="628" spans="42:62" x14ac:dyDescent="0.25">
      <c r="AP628" s="1">
        <v>623</v>
      </c>
      <c r="AQ628" s="7">
        <f t="shared" si="115"/>
        <v>56359.823205181245</v>
      </c>
      <c r="AR628" s="7">
        <f t="shared" si="116"/>
        <v>46379.979819438864</v>
      </c>
      <c r="AS628" s="7"/>
      <c r="AT628" s="7">
        <f t="shared" si="117"/>
        <v>-4215.228900232436</v>
      </c>
      <c r="AU628" s="7">
        <f t="shared" si="118"/>
        <v>-1043.1330686575971</v>
      </c>
      <c r="AV628" s="7"/>
      <c r="AX628" s="7">
        <f t="shared" si="119"/>
        <v>-119.81167754216078</v>
      </c>
      <c r="AY628" s="7">
        <f t="shared" si="120"/>
        <v>-128.11601361990472</v>
      </c>
      <c r="BB628" s="7">
        <f t="shared" si="121"/>
        <v>-22.431488530534267</v>
      </c>
      <c r="BC628" s="7">
        <f t="shared" si="122"/>
        <v>-10.686995671376028</v>
      </c>
      <c r="BF628" s="7">
        <f t="shared" si="123"/>
        <v>-48.181460095637341</v>
      </c>
      <c r="BG628" s="7">
        <f t="shared" si="124"/>
        <v>-48.197287636441516</v>
      </c>
      <c r="BI628" s="10">
        <f t="shared" si="125"/>
        <v>-190.4246261683324</v>
      </c>
      <c r="BJ628">
        <f t="shared" si="126"/>
        <v>-187.00029692772227</v>
      </c>
    </row>
    <row r="629" spans="42:62" x14ac:dyDescent="0.25">
      <c r="AP629" s="1">
        <v>624</v>
      </c>
      <c r="AQ629" s="7">
        <f t="shared" si="115"/>
        <v>54228.405676793984</v>
      </c>
      <c r="AR629" s="7">
        <f t="shared" si="116"/>
        <v>45835.038247994104</v>
      </c>
      <c r="AS629" s="7"/>
      <c r="AT629" s="7">
        <f t="shared" si="117"/>
        <v>-4310.4412133166024</v>
      </c>
      <c r="AU629" s="7">
        <f t="shared" si="118"/>
        <v>-1136.6332171214581</v>
      </c>
      <c r="AV629" s="7"/>
      <c r="AX629" s="7">
        <f t="shared" si="119"/>
        <v>-124.8774358507963</v>
      </c>
      <c r="AY629" s="7">
        <f t="shared" si="120"/>
        <v>-139.85989662665756</v>
      </c>
      <c r="BB629" s="7">
        <f t="shared" si="121"/>
        <v>-23.550084896289153</v>
      </c>
      <c r="BC629" s="7">
        <f t="shared" si="122"/>
        <v>-11.369208126018853</v>
      </c>
      <c r="BF629" s="7">
        <f t="shared" si="123"/>
        <v>-49.630666486096935</v>
      </c>
      <c r="BG629" s="7">
        <f t="shared" si="124"/>
        <v>-50.976950323991552</v>
      </c>
      <c r="BI629" s="10">
        <f t="shared" si="125"/>
        <v>-198.05818723318239</v>
      </c>
      <c r="BJ629">
        <f t="shared" si="126"/>
        <v>-202.20605507666795</v>
      </c>
    </row>
    <row r="630" spans="42:62" x14ac:dyDescent="0.25">
      <c r="AP630" s="1">
        <v>625</v>
      </c>
      <c r="AQ630" s="7">
        <f t="shared" si="115"/>
        <v>52048.427796731536</v>
      </c>
      <c r="AR630" s="7">
        <f t="shared" si="116"/>
        <v>45241.445882548789</v>
      </c>
      <c r="AS630" s="7"/>
      <c r="AT630" s="7">
        <f t="shared" si="117"/>
        <v>-4409.4703069331936</v>
      </c>
      <c r="AU630" s="7">
        <f t="shared" si="118"/>
        <v>-1237.736244659792</v>
      </c>
      <c r="AV630" s="7"/>
      <c r="AX630" s="7">
        <f t="shared" si="119"/>
        <v>-130.19888916490899</v>
      </c>
      <c r="AY630" s="7">
        <f t="shared" si="120"/>
        <v>-153.32715728059912</v>
      </c>
      <c r="BB630" s="7">
        <f t="shared" si="121"/>
        <v>-24.794776467015453</v>
      </c>
      <c r="BC630" s="7">
        <f t="shared" si="122"/>
        <v>-12.128006116905988</v>
      </c>
      <c r="BF630" s="7">
        <f t="shared" si="123"/>
        <v>-51.183204573842083</v>
      </c>
      <c r="BG630" s="7">
        <f t="shared" si="124"/>
        <v>-54.047944308242364</v>
      </c>
      <c r="BI630" s="10">
        <f t="shared" si="125"/>
        <v>-206.17687020576653</v>
      </c>
      <c r="BJ630">
        <f t="shared" si="126"/>
        <v>-219.50310770574748</v>
      </c>
    </row>
    <row r="631" spans="42:62" x14ac:dyDescent="0.25">
      <c r="AP631" s="1">
        <v>626</v>
      </c>
      <c r="AQ631" s="7">
        <f t="shared" si="115"/>
        <v>49817.920534489218</v>
      </c>
      <c r="AR631" s="7">
        <f t="shared" si="116"/>
        <v>44595.139871755673</v>
      </c>
      <c r="AS631" s="7"/>
      <c r="AT631" s="7">
        <f t="shared" si="117"/>
        <v>-4512.5587420360771</v>
      </c>
      <c r="AU631" s="7">
        <f t="shared" si="118"/>
        <v>-1347.4877985126657</v>
      </c>
      <c r="AV631" s="7"/>
      <c r="AX631" s="7">
        <f t="shared" si="119"/>
        <v>-135.73310890692647</v>
      </c>
      <c r="AY631" s="7">
        <f t="shared" si="120"/>
        <v>-168.85948348768491</v>
      </c>
      <c r="BB631" s="7">
        <f t="shared" si="121"/>
        <v>-26.187472835027219</v>
      </c>
      <c r="BC631" s="7">
        <f t="shared" si="122"/>
        <v>-12.976027912032064</v>
      </c>
      <c r="BF631" s="7">
        <f t="shared" si="123"/>
        <v>-52.849872714709754</v>
      </c>
      <c r="BG631" s="7">
        <f t="shared" si="124"/>
        <v>-57.455582516232326</v>
      </c>
      <c r="BI631" s="10">
        <f t="shared" si="125"/>
        <v>-214.77045445666346</v>
      </c>
      <c r="BJ631">
        <f t="shared" si="126"/>
        <v>-239.29109391594932</v>
      </c>
    </row>
    <row r="632" spans="42:62" x14ac:dyDescent="0.25">
      <c r="AP632" s="1">
        <v>627</v>
      </c>
      <c r="AQ632" s="7">
        <f t="shared" si="115"/>
        <v>47534.794856664092</v>
      </c>
      <c r="AR632" s="7">
        <f t="shared" si="116"/>
        <v>43891.484585759848</v>
      </c>
      <c r="AS632" s="7"/>
      <c r="AT632" s="7">
        <f t="shared" si="117"/>
        <v>-4619.9439692644091</v>
      </c>
      <c r="AU632" s="7">
        <f t="shared" si="118"/>
        <v>-1467.1333454706403</v>
      </c>
      <c r="AV632" s="7"/>
      <c r="AX632" s="7">
        <f t="shared" si="119"/>
        <v>-141.39940213766383</v>
      </c>
      <c r="AY632" s="7">
        <f t="shared" si="120"/>
        <v>-186.88115128931346</v>
      </c>
      <c r="BB632" s="7">
        <f t="shared" si="121"/>
        <v>-27.755373745680508</v>
      </c>
      <c r="BC632" s="7">
        <f t="shared" si="122"/>
        <v>-13.928684072709709</v>
      </c>
      <c r="BF632" s="7">
        <f t="shared" si="123"/>
        <v>-54.642991309956372</v>
      </c>
      <c r="BG632" s="7">
        <f t="shared" si="124"/>
        <v>-61.25477198930944</v>
      </c>
      <c r="BI632" s="10">
        <f t="shared" si="125"/>
        <v>-223.7977671933007</v>
      </c>
      <c r="BJ632">
        <f t="shared" si="126"/>
        <v>-262.0646073513326</v>
      </c>
    </row>
    <row r="633" spans="42:62" x14ac:dyDescent="0.25">
      <c r="AP633" s="1">
        <v>628</v>
      </c>
      <c r="AQ633" s="7">
        <f t="shared" si="115"/>
        <v>45196.848151132726</v>
      </c>
      <c r="AR633" s="7">
        <f t="shared" si="116"/>
        <v>43125.15983710561</v>
      </c>
      <c r="AS633" s="7"/>
      <c r="AT633" s="7">
        <f t="shared" si="117"/>
        <v>-4731.8428528610593</v>
      </c>
      <c r="AU633" s="7">
        <f t="shared" si="118"/>
        <v>-1598.1656491463066</v>
      </c>
      <c r="AV633" s="7"/>
      <c r="AX633" s="7">
        <f t="shared" si="119"/>
        <v>-147.05760295200761</v>
      </c>
      <c r="AY633" s="7">
        <f t="shared" si="120"/>
        <v>-207.9208708566737</v>
      </c>
      <c r="BB633" s="7">
        <f t="shared" si="121"/>
        <v>-29.532632167496974</v>
      </c>
      <c r="BC633" s="7">
        <f t="shared" si="122"/>
        <v>-15.004914941456224</v>
      </c>
      <c r="BF633" s="7">
        <f t="shared" si="123"/>
        <v>-56.576670135230415</v>
      </c>
      <c r="BG633" s="7">
        <f t="shared" si="124"/>
        <v>-65.512639055750341</v>
      </c>
      <c r="BI633" s="10">
        <f t="shared" si="125"/>
        <v>-233.16690525473501</v>
      </c>
      <c r="BJ633">
        <f t="shared" si="126"/>
        <v>-288.43842485388029</v>
      </c>
    </row>
    <row r="634" spans="42:62" x14ac:dyDescent="0.25">
      <c r="AP634" s="1">
        <v>629</v>
      </c>
      <c r="AQ634" s="7">
        <f t="shared" si="115"/>
        <v>42801.780861545361</v>
      </c>
      <c r="AR634" s="7">
        <f t="shared" si="116"/>
        <v>42290.022209425719</v>
      </c>
      <c r="AS634" s="7"/>
      <c r="AT634" s="7">
        <f t="shared" si="117"/>
        <v>-4848.4263054884268</v>
      </c>
      <c r="AU634" s="7">
        <f t="shared" si="118"/>
        <v>-1742.3848615732468</v>
      </c>
      <c r="AV634" s="7"/>
      <c r="AX634" s="7">
        <f t="shared" si="119"/>
        <v>-152.47399065160653</v>
      </c>
      <c r="AY634" s="7">
        <f t="shared" si="120"/>
        <v>-232.63856245874166</v>
      </c>
      <c r="BB634" s="7">
        <f t="shared" si="121"/>
        <v>-31.562670075608725</v>
      </c>
      <c r="BC634" s="7">
        <f t="shared" si="122"/>
        <v>-16.228191362551495</v>
      </c>
      <c r="BF634" s="7">
        <f t="shared" si="123"/>
        <v>-58.667130158589352</v>
      </c>
      <c r="BG634" s="7">
        <f t="shared" si="124"/>
        <v>-70.312049659486178</v>
      </c>
      <c r="BI634" s="10">
        <f t="shared" si="125"/>
        <v>-242.70379088580461</v>
      </c>
      <c r="BJ634">
        <f t="shared" si="126"/>
        <v>-319.17880348077932</v>
      </c>
    </row>
    <row r="635" spans="42:62" x14ac:dyDescent="0.25">
      <c r="AP635" s="1">
        <v>630</v>
      </c>
      <c r="AQ635" s="7">
        <f t="shared" si="115"/>
        <v>40347.229734940425</v>
      </c>
      <c r="AR635" s="7">
        <f t="shared" si="116"/>
        <v>41378.932428204003</v>
      </c>
      <c r="AS635" s="7"/>
      <c r="AT635" s="7">
        <f t="shared" si="117"/>
        <v>-4969.7782009313287</v>
      </c>
      <c r="AU635" s="7">
        <f t="shared" si="118"/>
        <v>-1901.9742633136364</v>
      </c>
      <c r="AV635" s="7"/>
      <c r="AX635" s="7">
        <f t="shared" si="119"/>
        <v>-157.26750086580418</v>
      </c>
      <c r="AY635" s="7">
        <f t="shared" si="120"/>
        <v>-261.85653302157965</v>
      </c>
      <c r="BB635" s="7">
        <f t="shared" si="121"/>
        <v>-33.901457027772231</v>
      </c>
      <c r="BC635" s="7">
        <f t="shared" si="122"/>
        <v>-17.627843630346501</v>
      </c>
      <c r="BF635" s="7">
        <f t="shared" si="123"/>
        <v>-60.933091090238236</v>
      </c>
      <c r="BG635" s="7">
        <f t="shared" si="124"/>
        <v>-75.756394498585664</v>
      </c>
      <c r="BI635" s="10">
        <f t="shared" si="125"/>
        <v>-252.10204898381465</v>
      </c>
      <c r="BJ635">
        <f t="shared" si="126"/>
        <v>-355.24077115051182</v>
      </c>
    </row>
    <row r="636" spans="42:62" x14ac:dyDescent="0.25">
      <c r="AP636" s="1">
        <v>631</v>
      </c>
      <c r="AQ636" s="7">
        <f t="shared" si="115"/>
        <v>37830.827878351789</v>
      </c>
      <c r="AR636" s="7">
        <f t="shared" si="116"/>
        <v>40383.540200153373</v>
      </c>
      <c r="AS636" s="7"/>
      <c r="AT636" s="7">
        <f t="shared" si="117"/>
        <v>-5095.8292254232356</v>
      </c>
      <c r="AU636" s="7">
        <f t="shared" si="118"/>
        <v>-2079.5946488888922</v>
      </c>
      <c r="AV636" s="7"/>
      <c r="AX636" s="7">
        <f t="shared" si="119"/>
        <v>-160.8245143273196</v>
      </c>
      <c r="AY636" s="7">
        <f t="shared" si="120"/>
        <v>-296.59191475193597</v>
      </c>
      <c r="BB636" s="7">
        <f t="shared" si="121"/>
        <v>-36.622235399902614</v>
      </c>
      <c r="BC636" s="7">
        <f t="shared" si="122"/>
        <v>-19.24083057972183</v>
      </c>
      <c r="BF636" s="7">
        <f t="shared" si="123"/>
        <v>-63.396236894172397</v>
      </c>
      <c r="BG636" s="7">
        <f t="shared" si="124"/>
        <v>-81.976188845546019</v>
      </c>
      <c r="BI636" s="10">
        <f t="shared" si="125"/>
        <v>-260.84298662139463</v>
      </c>
      <c r="BJ636">
        <f t="shared" si="126"/>
        <v>-397.80893417720381</v>
      </c>
    </row>
    <row r="637" spans="42:62" x14ac:dyDescent="0.25">
      <c r="AP637" s="1">
        <v>632</v>
      </c>
      <c r="AQ637" s="7">
        <f t="shared" si="115"/>
        <v>35250.307892312499</v>
      </c>
      <c r="AR637" s="7">
        <f t="shared" si="116"/>
        <v>39294.016758936777</v>
      </c>
      <c r="AS637" s="7"/>
      <c r="AT637" s="7">
        <f t="shared" si="117"/>
        <v>-5226.2507187339324</v>
      </c>
      <c r="AU637" s="7">
        <f t="shared" si="118"/>
        <v>-2278.4991159774941</v>
      </c>
      <c r="AV637" s="7"/>
      <c r="AX637" s="7">
        <f t="shared" si="119"/>
        <v>-162.16383094810362</v>
      </c>
      <c r="AY637" s="7">
        <f t="shared" si="120"/>
        <v>-338.08101418440185</v>
      </c>
      <c r="BB637" s="7">
        <f t="shared" si="121"/>
        <v>-39.822462022904205</v>
      </c>
      <c r="BC637" s="7">
        <f t="shared" si="122"/>
        <v>-21.114088126980263</v>
      </c>
      <c r="BF637" s="7">
        <f t="shared" si="123"/>
        <v>-66.081770468094305</v>
      </c>
      <c r="BG637" s="7">
        <f t="shared" si="124"/>
        <v>-89.13831821744094</v>
      </c>
      <c r="BI637" s="10">
        <f t="shared" si="125"/>
        <v>-268.06806343910216</v>
      </c>
      <c r="BJ637">
        <f t="shared" si="126"/>
        <v>-448.33342052882307</v>
      </c>
    </row>
    <row r="638" spans="42:62" x14ac:dyDescent="0.25">
      <c r="AP638" s="1">
        <v>633</v>
      </c>
      <c r="AQ638" s="7">
        <f t="shared" si="115"/>
        <v>32603.674025015644</v>
      </c>
      <c r="AR638" s="7">
        <f t="shared" si="116"/>
        <v>38098.725523381931</v>
      </c>
      <c r="AS638" s="7"/>
      <c r="AT638" s="7">
        <f t="shared" si="117"/>
        <v>-5360.2847504534839</v>
      </c>
      <c r="AU638" s="7">
        <f t="shared" si="118"/>
        <v>-2502.6658262419055</v>
      </c>
      <c r="AV638" s="7"/>
      <c r="AX638" s="7">
        <f t="shared" si="119"/>
        <v>-159.72413821974845</v>
      </c>
      <c r="AY638" s="7">
        <f t="shared" si="120"/>
        <v>-387.77225237215976</v>
      </c>
      <c r="BB638" s="7">
        <f t="shared" si="121"/>
        <v>-43.634214681681286</v>
      </c>
      <c r="BC638" s="7">
        <f t="shared" si="122"/>
        <v>-23.307608156529707</v>
      </c>
      <c r="BF638" s="7">
        <f t="shared" si="123"/>
        <v>-69.019062165877727</v>
      </c>
      <c r="BG638" s="7">
        <f t="shared" si="124"/>
        <v>-97.459206655955242</v>
      </c>
      <c r="BI638" s="10">
        <f t="shared" si="125"/>
        <v>-272.37741506730748</v>
      </c>
      <c r="BJ638">
        <f t="shared" si="126"/>
        <v>-508.53906718464469</v>
      </c>
    </row>
    <row r="639" spans="42:62" x14ac:dyDescent="0.25">
      <c r="AP639" s="1">
        <v>634</v>
      </c>
      <c r="AQ639" s="7">
        <f t="shared" si="115"/>
        <v>29889.484472905486</v>
      </c>
      <c r="AR639" s="7">
        <f t="shared" si="116"/>
        <v>36783.825226862893</v>
      </c>
      <c r="AS639" s="7"/>
      <c r="AT639" s="7">
        <f t="shared" si="117"/>
        <v>-5496.4734579871374</v>
      </c>
      <c r="AU639" s="7">
        <f t="shared" si="118"/>
        <v>-2756.9353598342277</v>
      </c>
      <c r="AV639" s="7"/>
      <c r="AX639" s="7">
        <f t="shared" si="119"/>
        <v>-151.03618515920658</v>
      </c>
      <c r="AY639" s="7">
        <f t="shared" si="120"/>
        <v>-447.23435900545741</v>
      </c>
      <c r="BB639" s="7">
        <f t="shared" si="121"/>
        <v>-48.240126322608354</v>
      </c>
      <c r="BC639" s="7">
        <f t="shared" si="122"/>
        <v>-25.898345633301414</v>
      </c>
      <c r="BF639" s="7">
        <f t="shared" si="123"/>
        <v>-72.242376151804962</v>
      </c>
      <c r="BG639" s="7">
        <f t="shared" si="124"/>
        <v>-107.22389961145844</v>
      </c>
      <c r="BI639" s="10">
        <f t="shared" si="125"/>
        <v>-271.51868763361989</v>
      </c>
      <c r="BJ639">
        <f t="shared" si="126"/>
        <v>-580.35660425021729</v>
      </c>
    </row>
    <row r="640" spans="42:62" x14ac:dyDescent="0.25">
      <c r="AP640" s="1">
        <v>635</v>
      </c>
      <c r="AQ640" s="7">
        <f t="shared" si="115"/>
        <v>27107.307907957715</v>
      </c>
      <c r="AR640" s="7">
        <f t="shared" si="116"/>
        <v>35332.812971414503</v>
      </c>
      <c r="AS640" s="7"/>
      <c r="AT640" s="7">
        <f t="shared" si="117"/>
        <v>-5632.232801803947</v>
      </c>
      <c r="AU640" s="7">
        <f t="shared" si="118"/>
        <v>-3047.1136619593362</v>
      </c>
      <c r="AV640" s="7"/>
      <c r="AX640" s="7">
        <f t="shared" si="119"/>
        <v>-132.2406238960898</v>
      </c>
      <c r="AY640" s="7">
        <f t="shared" si="120"/>
        <v>-517.86535771188562</v>
      </c>
      <c r="BB640" s="7">
        <f t="shared" si="121"/>
        <v>-53.898310733492124</v>
      </c>
      <c r="BC640" s="7">
        <f t="shared" si="122"/>
        <v>-28.984798451114337</v>
      </c>
      <c r="BF640" s="7">
        <f t="shared" si="123"/>
        <v>-75.791601992358338</v>
      </c>
      <c r="BG640" s="7">
        <f t="shared" si="124"/>
        <v>-118.81421322588585</v>
      </c>
      <c r="BI640" s="10">
        <f t="shared" si="125"/>
        <v>-261.93053662194029</v>
      </c>
      <c r="BJ640">
        <f t="shared" si="126"/>
        <v>-665.6643693888858</v>
      </c>
    </row>
    <row r="641" spans="42:62" x14ac:dyDescent="0.25">
      <c r="AP641" s="1">
        <v>636</v>
      </c>
      <c r="AQ641" s="7">
        <f t="shared" si="115"/>
        <v>24258.450189977997</v>
      </c>
      <c r="AR641" s="7">
        <f t="shared" si="116"/>
        <v>33726.048094261227</v>
      </c>
      <c r="AS641" s="7"/>
      <c r="AT641" s="7">
        <f t="shared" si="117"/>
        <v>-5763.1980701149168</v>
      </c>
      <c r="AU641" s="7">
        <f t="shared" si="118"/>
        <v>-3379.945846653779</v>
      </c>
      <c r="AV641" s="7"/>
      <c r="AX641" s="7">
        <f t="shared" si="119"/>
        <v>-97.453205835058995</v>
      </c>
      <c r="AY641" s="7">
        <f t="shared" si="120"/>
        <v>-600.17432379158618</v>
      </c>
      <c r="BB641" s="7">
        <f t="shared" si="121"/>
        <v>-60.982157220869148</v>
      </c>
      <c r="BC641" s="7">
        <f t="shared" si="122"/>
        <v>-32.691284690347629</v>
      </c>
      <c r="BF641" s="7">
        <f t="shared" si="123"/>
        <v>-79.712770336719615</v>
      </c>
      <c r="BG641" s="7">
        <f t="shared" si="124"/>
        <v>-132.75099179669573</v>
      </c>
      <c r="BI641" s="10">
        <f t="shared" si="125"/>
        <v>-238.14813339264776</v>
      </c>
      <c r="BJ641">
        <f t="shared" si="126"/>
        <v>-765.61660027862956</v>
      </c>
    </row>
    <row r="642" spans="42:62" x14ac:dyDescent="0.25">
      <c r="AP642" s="1">
        <v>637</v>
      </c>
      <c r="AQ642" s="7">
        <f t="shared" si="115"/>
        <v>21347.082638246458</v>
      </c>
      <c r="AR642" s="7">
        <f t="shared" si="116"/>
        <v>31940.373095899511</v>
      </c>
      <c r="AS642" s="7"/>
      <c r="AT642" s="7">
        <f t="shared" si="117"/>
        <v>-5882.2721368112407</v>
      </c>
      <c r="AU642" s="7">
        <f t="shared" si="118"/>
        <v>-3762.7541467930937</v>
      </c>
      <c r="AV642" s="7"/>
      <c r="AX642" s="7">
        <f t="shared" si="119"/>
        <v>-38.15404683503278</v>
      </c>
      <c r="AY642" s="7">
        <f t="shared" si="120"/>
        <v>-692.23603162200186</v>
      </c>
      <c r="BB642" s="7">
        <f t="shared" si="121"/>
        <v>-70.044955994160162</v>
      </c>
      <c r="BC642" s="7">
        <f t="shared" si="122"/>
        <v>-37.168582882705493</v>
      </c>
      <c r="BF642" s="7">
        <f t="shared" si="123"/>
        <v>-84.057742599860347</v>
      </c>
      <c r="BG642" s="7">
        <f t="shared" si="124"/>
        <v>-149.75858440997925</v>
      </c>
      <c r="BI642" s="10">
        <f t="shared" si="125"/>
        <v>-192.2567454290533</v>
      </c>
      <c r="BJ642">
        <f t="shared" si="126"/>
        <v>-879.16319891468663</v>
      </c>
    </row>
    <row r="643" spans="42:62" x14ac:dyDescent="0.25">
      <c r="AP643" s="1">
        <v>638</v>
      </c>
      <c r="AQ643" s="7">
        <f t="shared" si="115"/>
        <v>18381.914476662208</v>
      </c>
      <c r="AR643" s="7">
        <f t="shared" si="116"/>
        <v>29949.100622638627</v>
      </c>
      <c r="AS643" s="7"/>
      <c r="AT643" s="7">
        <f t="shared" si="117"/>
        <v>-5978.4005095257671</v>
      </c>
      <c r="AU643" s="7">
        <f t="shared" si="118"/>
        <v>-4202.3357462504373</v>
      </c>
      <c r="AV643" s="7"/>
      <c r="AX643" s="7">
        <f t="shared" si="119"/>
        <v>56.71104126225562</v>
      </c>
      <c r="AY643" s="7">
        <f t="shared" si="120"/>
        <v>-786.80134847557918</v>
      </c>
      <c r="BB643" s="7">
        <f t="shared" si="121"/>
        <v>-81.925805604395705</v>
      </c>
      <c r="BC643" s="7">
        <f t="shared" si="122"/>
        <v>-42.581152135768832</v>
      </c>
      <c r="BF643" s="7">
        <f t="shared" si="123"/>
        <v>-88.881433954472513</v>
      </c>
      <c r="BG643" s="7">
        <f t="shared" si="124"/>
        <v>-170.86455954201676</v>
      </c>
      <c r="BI643" s="10">
        <f t="shared" si="125"/>
        <v>-114.0961982966126</v>
      </c>
      <c r="BJ643">
        <f t="shared" si="126"/>
        <v>-1000.2470601533648</v>
      </c>
    </row>
    <row r="644" spans="42:62" x14ac:dyDescent="0.25">
      <c r="AP644" s="1">
        <v>639</v>
      </c>
      <c r="AQ644" s="7">
        <f t="shared" si="115"/>
        <v>15378.452197112249</v>
      </c>
      <c r="AR644" s="7">
        <f t="shared" si="116"/>
        <v>27722.901866994238</v>
      </c>
      <c r="AS644" s="7"/>
      <c r="AT644" s="7">
        <f t="shared" si="117"/>
        <v>-6035.4486086740735</v>
      </c>
      <c r="AU644" s="7">
        <f t="shared" si="118"/>
        <v>-4702.4592763271194</v>
      </c>
      <c r="AV644" s="7"/>
      <c r="AX644" s="7">
        <f t="shared" si="119"/>
        <v>198.14064812990088</v>
      </c>
      <c r="AY644" s="7">
        <f t="shared" si="120"/>
        <v>-867.02097520010068</v>
      </c>
      <c r="BB644" s="7">
        <f t="shared" si="121"/>
        <v>-97.921763597551887</v>
      </c>
      <c r="BC644" s="7">
        <f t="shared" si="122"/>
        <v>-49.054090812488312</v>
      </c>
      <c r="BF644" s="7">
        <f t="shared" si="123"/>
        <v>-94.232161048134969</v>
      </c>
      <c r="BG644" s="7">
        <f t="shared" si="124"/>
        <v>-197.55530646948534</v>
      </c>
      <c r="BI644" s="10">
        <f t="shared" si="125"/>
        <v>5.9867234842140249</v>
      </c>
      <c r="BJ644">
        <f t="shared" si="126"/>
        <v>-1113.6303724820743</v>
      </c>
    </row>
    <row r="645" spans="42:62" x14ac:dyDescent="0.25">
      <c r="AP645" s="1">
        <v>640</v>
      </c>
      <c r="AQ645" s="7">
        <f t="shared" si="115"/>
        <v>12361.476233210738</v>
      </c>
      <c r="AR645" s="7">
        <f t="shared" si="116"/>
        <v>25232.46843227042</v>
      </c>
      <c r="AS645" s="7"/>
      <c r="AT645" s="7">
        <f t="shared" si="117"/>
        <v>-6032.4552469319669</v>
      </c>
      <c r="AU645" s="7">
        <f t="shared" si="118"/>
        <v>-5259.2744625681562</v>
      </c>
      <c r="AV645" s="7"/>
      <c r="AX645" s="7">
        <f t="shared" si="119"/>
        <v>389.05329936237342</v>
      </c>
      <c r="AY645" s="7">
        <f t="shared" si="120"/>
        <v>-903.16866976428605</v>
      </c>
      <c r="BB645" s="7">
        <f t="shared" si="121"/>
        <v>-120.05496460370983</v>
      </c>
      <c r="BC645" s="7">
        <f t="shared" si="122"/>
        <v>-56.509580875875741</v>
      </c>
      <c r="BF645" s="7">
        <f t="shared" si="123"/>
        <v>-100.12323623565507</v>
      </c>
      <c r="BG645" s="7">
        <f t="shared" si="124"/>
        <v>-232.01972499793538</v>
      </c>
      <c r="BI645" s="10">
        <f t="shared" si="125"/>
        <v>168.87509852300852</v>
      </c>
      <c r="BJ645">
        <f t="shared" si="126"/>
        <v>-1191.6979756380972</v>
      </c>
    </row>
    <row r="646" spans="42:62" x14ac:dyDescent="0.25">
      <c r="AP646" s="1">
        <v>641</v>
      </c>
      <c r="AQ646" s="7">
        <f t="shared" ref="AQ646:AQ709" si="127">AQ645+(AT645*$R$7)+((1/2)*(BI645)*$R$7^2)</f>
        <v>9366.3579970601313</v>
      </c>
      <c r="AR646" s="7">
        <f t="shared" ref="AR646:AR709" si="128">AR645+(AU645*$R$7)+((1/2)*(BJ645)*$R$7^2)</f>
        <v>22453.868954031579</v>
      </c>
      <c r="AS646" s="7"/>
      <c r="AT646" s="7">
        <f t="shared" ref="AT646:AT709" si="129">AT645+(BI645)*$R$7</f>
        <v>-5948.0176976704624</v>
      </c>
      <c r="AU646" s="7">
        <f t="shared" ref="AU646:AU709" si="130">AU645+(BJ645)*$R$7</f>
        <v>-5855.1234503872047</v>
      </c>
      <c r="AV646" s="7"/>
      <c r="AX646" s="7">
        <f t="shared" ref="AX646:AX709" si="131">(($R$23-AQ646)/(($R$23-AQ646)^2+($S$23-AR646)^2+$R$28^2)^(3/2))*$R$27</f>
        <v>610.12244155998235</v>
      </c>
      <c r="AY646" s="7">
        <f t="shared" ref="AY646:AY709" si="132">(($S$23-AR646)/(($R$23-AQ646)^2+($S$23-AR646)^2+$R$28^2)^(3/2))*$R$27</f>
        <v>-858.00246373531797</v>
      </c>
      <c r="BB646" s="7">
        <f t="shared" ref="BB646:BB709" si="133">(($R$32-AQ646)/(($R$32-AQ646)^2+($S$32-AR646)^2+$R$37^2)^(3/2))*$R$36</f>
        <v>-151.43024948218368</v>
      </c>
      <c r="BC646" s="7">
        <f t="shared" ref="BC646:BC709" si="134">(($S$32-AR646)/(($R$32-AQ646)^2+($S$32-AR646)^2+$R$37^2)^(3/2))*$R$36</f>
        <v>-64.219488263278024</v>
      </c>
      <c r="BF646" s="7">
        <f t="shared" ref="BF646:BF709" si="135">(($R$41-AQ646)/(($R$41-AQ646)^2+($S$41-AR646)^2+$R$46^2)^(3/2))*$R$45</f>
        <v>-106.4539724662949</v>
      </c>
      <c r="BG646" s="7">
        <f t="shared" ref="BG646:BG709" si="136">(($S$41-AR646)/(($R$41-AQ646)^2+($S$41-AR646)^2+$R$46^2)^(3/2))*$R$45</f>
        <v>-277.53123896847069</v>
      </c>
      <c r="BI646" s="10">
        <f t="shared" ref="BI646:BI709" si="137">BF646+BB646+AX646</f>
        <v>352.23821961150378</v>
      </c>
      <c r="BJ646">
        <f t="shared" ref="BJ646:BJ709" si="138">BG646+BC646+AY646</f>
        <v>-1199.7531909670668</v>
      </c>
    </row>
    <row r="647" spans="42:62" x14ac:dyDescent="0.25">
      <c r="AP647" s="1">
        <v>642</v>
      </c>
      <c r="AQ647" s="7">
        <f t="shared" si="127"/>
        <v>6436.3789256763384</v>
      </c>
      <c r="AR647" s="7">
        <f t="shared" si="128"/>
        <v>19376.338079967092</v>
      </c>
      <c r="AS647" s="7"/>
      <c r="AT647" s="7">
        <f t="shared" si="129"/>
        <v>-5771.8985878647109</v>
      </c>
      <c r="AU647" s="7">
        <f t="shared" si="130"/>
        <v>-6455.0000458707382</v>
      </c>
      <c r="AV647" s="7"/>
      <c r="AX647" s="7">
        <f t="shared" si="131"/>
        <v>810.51566224618011</v>
      </c>
      <c r="AY647" s="7">
        <f t="shared" si="132"/>
        <v>-709.68939424047153</v>
      </c>
      <c r="BB647" s="7">
        <f t="shared" si="133"/>
        <v>-196.49107959844198</v>
      </c>
      <c r="BC647" s="7">
        <f t="shared" si="134"/>
        <v>-69.690588003462068</v>
      </c>
      <c r="BF647" s="7">
        <f t="shared" si="135"/>
        <v>-112.79599774198753</v>
      </c>
      <c r="BG647" s="7">
        <f t="shared" si="136"/>
        <v>-339.05079375607136</v>
      </c>
      <c r="BI647" s="10">
        <f t="shared" si="137"/>
        <v>501.22858490575061</v>
      </c>
      <c r="BJ647">
        <f t="shared" si="138"/>
        <v>-1118.4307760000049</v>
      </c>
    </row>
    <row r="648" spans="42:62" x14ac:dyDescent="0.25">
      <c r="AP648" s="1">
        <v>643</v>
      </c>
      <c r="AQ648" s="7">
        <f t="shared" si="127"/>
        <v>3613.083204857202</v>
      </c>
      <c r="AR648" s="7">
        <f t="shared" si="128"/>
        <v>16009.034210031723</v>
      </c>
      <c r="AS648" s="7"/>
      <c r="AT648" s="7">
        <f t="shared" si="129"/>
        <v>-5521.284295411836</v>
      </c>
      <c r="AU648" s="7">
        <f t="shared" si="130"/>
        <v>-7014.2154338707405</v>
      </c>
      <c r="AV648" s="7"/>
      <c r="AX648" s="7">
        <f t="shared" si="131"/>
        <v>926.68993641793782</v>
      </c>
      <c r="AY648" s="7">
        <f t="shared" si="132"/>
        <v>-481.19096896919598</v>
      </c>
      <c r="BB648" s="7">
        <f t="shared" si="133"/>
        <v>-260.28370935468189</v>
      </c>
      <c r="BC648" s="7">
        <f t="shared" si="134"/>
        <v>-66.236742582794633</v>
      </c>
      <c r="BF648" s="7">
        <f t="shared" si="135"/>
        <v>-117.82454799302087</v>
      </c>
      <c r="BG648" s="7">
        <f t="shared" si="136"/>
        <v>-424.19483854941842</v>
      </c>
      <c r="BI648" s="10">
        <f t="shared" si="137"/>
        <v>548.58167907023505</v>
      </c>
      <c r="BJ648">
        <f t="shared" si="138"/>
        <v>-971.62255010140905</v>
      </c>
    </row>
    <row r="649" spans="42:62" x14ac:dyDescent="0.25">
      <c r="AP649" s="1">
        <v>644</v>
      </c>
      <c r="AQ649" s="7">
        <f t="shared" si="127"/>
        <v>921.01376703506332</v>
      </c>
      <c r="AR649" s="7">
        <f t="shared" si="128"/>
        <v>12380.473674333676</v>
      </c>
      <c r="AS649" s="7"/>
      <c r="AT649" s="7">
        <f t="shared" si="129"/>
        <v>-5246.9934558767181</v>
      </c>
      <c r="AU649" s="7">
        <f t="shared" si="130"/>
        <v>-7500.0267089214449</v>
      </c>
      <c r="AV649" s="7"/>
      <c r="AX649" s="7">
        <f t="shared" si="131"/>
        <v>927.16176785397602</v>
      </c>
      <c r="AY649" s="7">
        <f t="shared" si="132"/>
        <v>-237.17133314146761</v>
      </c>
      <c r="BB649" s="7">
        <f t="shared" si="133"/>
        <v>-343.91990660991559</v>
      </c>
      <c r="BC649" s="7">
        <f t="shared" si="134"/>
        <v>-39.132534057895512</v>
      </c>
      <c r="BF649" s="7">
        <f t="shared" si="135"/>
        <v>-117.80528166780176</v>
      </c>
      <c r="BG649" s="7">
        <f t="shared" si="136"/>
        <v>-544.76556554569629</v>
      </c>
      <c r="BI649" s="10">
        <f t="shared" si="137"/>
        <v>465.43657957625868</v>
      </c>
      <c r="BJ649">
        <f t="shared" si="138"/>
        <v>-821.06943274505943</v>
      </c>
    </row>
    <row r="650" spans="42:62" x14ac:dyDescent="0.25">
      <c r="AP650" s="1">
        <v>645</v>
      </c>
      <c r="AQ650" s="7">
        <f t="shared" si="127"/>
        <v>-1644.3033884562635</v>
      </c>
      <c r="AR650" s="7">
        <f t="shared" si="128"/>
        <v>8527.8266407798201</v>
      </c>
      <c r="AS650" s="7"/>
      <c r="AT650" s="7">
        <f t="shared" si="129"/>
        <v>-5014.2751660885888</v>
      </c>
      <c r="AU650" s="7">
        <f t="shared" si="130"/>
        <v>-7910.5614252939749</v>
      </c>
      <c r="AV650" s="7"/>
      <c r="AX650" s="7">
        <f t="shared" si="131"/>
        <v>833.80539301744352</v>
      </c>
      <c r="AY650" s="7">
        <f t="shared" si="132"/>
        <v>-39.595055603697162</v>
      </c>
      <c r="BB650" s="7">
        <f t="shared" si="133"/>
        <v>-431.1714617471315</v>
      </c>
      <c r="BC650" s="7">
        <f t="shared" si="134"/>
        <v>34.581043295352544</v>
      </c>
      <c r="BF650" s="7">
        <f t="shared" si="135"/>
        <v>-102.5004702736075</v>
      </c>
      <c r="BG650" s="7">
        <f t="shared" si="136"/>
        <v>-718.66249377246811</v>
      </c>
      <c r="BI650" s="10">
        <f t="shared" si="137"/>
        <v>300.13346099670457</v>
      </c>
      <c r="BJ650">
        <f t="shared" si="138"/>
        <v>-723.67650608081271</v>
      </c>
    </row>
    <row r="651" spans="42:62" x14ac:dyDescent="0.25">
      <c r="AP651" s="1">
        <v>646</v>
      </c>
      <c r="AQ651" s="7">
        <f t="shared" si="127"/>
        <v>-4113.92428887597</v>
      </c>
      <c r="AR651" s="7">
        <f t="shared" si="128"/>
        <v>4482.0863648727318</v>
      </c>
      <c r="AS651" s="7"/>
      <c r="AT651" s="7">
        <f t="shared" si="129"/>
        <v>-4864.2084355902361</v>
      </c>
      <c r="AU651" s="7">
        <f t="shared" si="130"/>
        <v>-8272.399678334381</v>
      </c>
      <c r="AV651" s="7"/>
      <c r="AX651" s="7">
        <f t="shared" si="131"/>
        <v>695.72385016580154</v>
      </c>
      <c r="AY651" s="7">
        <f t="shared" si="132"/>
        <v>87.071455833806297</v>
      </c>
      <c r="BB651" s="7">
        <f t="shared" si="133"/>
        <v>-472.02586310229185</v>
      </c>
      <c r="BC651" s="7">
        <f t="shared" si="134"/>
        <v>163.9547735707325</v>
      </c>
      <c r="BF651" s="7">
        <f t="shared" si="135"/>
        <v>-44.070769883806278</v>
      </c>
      <c r="BG651" s="7">
        <f t="shared" si="136"/>
        <v>-968.98101851091531</v>
      </c>
      <c r="BI651" s="10">
        <f t="shared" si="137"/>
        <v>179.62721717970339</v>
      </c>
      <c r="BJ651">
        <f t="shared" si="138"/>
        <v>-717.95478910637644</v>
      </c>
    </row>
    <row r="652" spans="42:62" x14ac:dyDescent="0.25">
      <c r="AP652" s="1">
        <v>647</v>
      </c>
      <c r="AQ652" s="7">
        <f t="shared" si="127"/>
        <v>-6523.5751045236248</v>
      </c>
      <c r="AR652" s="7">
        <f t="shared" si="128"/>
        <v>256.14217706724423</v>
      </c>
      <c r="AS652" s="7"/>
      <c r="AT652" s="7">
        <f t="shared" si="129"/>
        <v>-4774.3948270003848</v>
      </c>
      <c r="AU652" s="7">
        <f t="shared" si="130"/>
        <v>-8631.3770728875697</v>
      </c>
      <c r="AV652" s="7"/>
      <c r="AX652" s="7">
        <f t="shared" si="131"/>
        <v>554.54934351000645</v>
      </c>
      <c r="AY652" s="7">
        <f t="shared" si="132"/>
        <v>151.45305956518914</v>
      </c>
      <c r="BB652" s="7">
        <f t="shared" si="133"/>
        <v>-412.02853554373303</v>
      </c>
      <c r="BC652" s="7">
        <f t="shared" si="134"/>
        <v>297.90894101869395</v>
      </c>
      <c r="BF652" s="7">
        <f t="shared" si="135"/>
        <v>130.06394586367915</v>
      </c>
      <c r="BG652" s="7">
        <f t="shared" si="136"/>
        <v>-1302.380200565884</v>
      </c>
      <c r="BI652" s="10">
        <f t="shared" si="137"/>
        <v>272.58475382995255</v>
      </c>
      <c r="BJ652">
        <f t="shared" si="138"/>
        <v>-853.01819998200097</v>
      </c>
    </row>
    <row r="653" spans="42:62" x14ac:dyDescent="0.25">
      <c r="AP653" s="1">
        <v>648</v>
      </c>
      <c r="AQ653" s="7">
        <f t="shared" si="127"/>
        <v>-8876.699423795073</v>
      </c>
      <c r="AR653" s="7">
        <f t="shared" si="128"/>
        <v>-4166.1736343742905</v>
      </c>
      <c r="AS653" s="7"/>
      <c r="AT653" s="7">
        <f t="shared" si="129"/>
        <v>-4638.1024500854082</v>
      </c>
      <c r="AU653" s="7">
        <f t="shared" si="130"/>
        <v>-9057.8861728785705</v>
      </c>
      <c r="AV653" s="7"/>
      <c r="AX653" s="7">
        <f t="shared" si="131"/>
        <v>432.00901095434682</v>
      </c>
      <c r="AY653" s="7">
        <f t="shared" si="132"/>
        <v>174.5314469442005</v>
      </c>
      <c r="BB653" s="7">
        <f t="shared" si="133"/>
        <v>-276.85379444835598</v>
      </c>
      <c r="BC653" s="7">
        <f t="shared" si="134"/>
        <v>352.58949415434051</v>
      </c>
      <c r="BF653" s="7">
        <f t="shared" si="135"/>
        <v>572.93441022838613</v>
      </c>
      <c r="BG653" s="7">
        <f t="shared" si="136"/>
        <v>-1601.1228214412683</v>
      </c>
      <c r="BI653" s="10">
        <f t="shared" si="137"/>
        <v>728.08962673437691</v>
      </c>
      <c r="BJ653">
        <f t="shared" si="138"/>
        <v>-1074.0018803427274</v>
      </c>
    </row>
    <row r="654" spans="42:62" x14ac:dyDescent="0.25">
      <c r="AP654" s="1">
        <v>649</v>
      </c>
      <c r="AQ654" s="7">
        <f t="shared" si="127"/>
        <v>-11104.739445495979</v>
      </c>
      <c r="AR654" s="7">
        <f t="shared" si="128"/>
        <v>-8829.3669558564161</v>
      </c>
      <c r="AS654" s="7"/>
      <c r="AT654" s="7">
        <f t="shared" si="129"/>
        <v>-4274.0576367182202</v>
      </c>
      <c r="AU654" s="7">
        <f t="shared" si="130"/>
        <v>-9594.8871130499338</v>
      </c>
      <c r="AV654" s="7"/>
      <c r="AX654" s="7">
        <f t="shared" si="131"/>
        <v>334.20790213516295</v>
      </c>
      <c r="AY654" s="7">
        <f t="shared" si="132"/>
        <v>175.45247350728948</v>
      </c>
      <c r="BB654" s="7">
        <f t="shared" si="133"/>
        <v>-150.6520286926079</v>
      </c>
      <c r="BC654" s="7">
        <f t="shared" si="134"/>
        <v>318.89817206770857</v>
      </c>
      <c r="BF654" s="7">
        <f t="shared" si="135"/>
        <v>1376.6620022725933</v>
      </c>
      <c r="BG654" s="7">
        <f t="shared" si="136"/>
        <v>-1391.5214756802725</v>
      </c>
      <c r="BI654" s="10">
        <f t="shared" si="137"/>
        <v>1560.2178757151482</v>
      </c>
      <c r="BJ654">
        <f t="shared" si="138"/>
        <v>-897.17083010527438</v>
      </c>
    </row>
    <row r="655" spans="42:62" x14ac:dyDescent="0.25">
      <c r="AP655" s="1">
        <v>650</v>
      </c>
      <c r="AQ655" s="7">
        <f t="shared" si="127"/>
        <v>-13046.741029390698</v>
      </c>
      <c r="AR655" s="7">
        <f t="shared" si="128"/>
        <v>-13738.956866144543</v>
      </c>
      <c r="AS655" s="7"/>
      <c r="AT655" s="7">
        <f t="shared" si="129"/>
        <v>-3493.9486988606459</v>
      </c>
      <c r="AU655" s="7">
        <f t="shared" si="130"/>
        <v>-10043.472528102571</v>
      </c>
      <c r="AV655" s="7"/>
      <c r="AX655" s="7">
        <f t="shared" si="131"/>
        <v>259.77622282143005</v>
      </c>
      <c r="AY655" s="7">
        <f t="shared" si="132"/>
        <v>166.95673520264322</v>
      </c>
      <c r="BB655" s="7">
        <f t="shared" si="133"/>
        <v>-73.500693032008854</v>
      </c>
      <c r="BC655" s="7">
        <f t="shared" si="134"/>
        <v>250.93697630043724</v>
      </c>
      <c r="BF655" s="7">
        <f t="shared" si="135"/>
        <v>1963.9143337554913</v>
      </c>
      <c r="BG655" s="7">
        <f t="shared" si="136"/>
        <v>-307.77437437305036</v>
      </c>
      <c r="BI655" s="10">
        <f t="shared" si="137"/>
        <v>2150.1898635449124</v>
      </c>
      <c r="BJ655">
        <f t="shared" si="138"/>
        <v>110.11933713003009</v>
      </c>
    </row>
    <row r="656" spans="42:62" x14ac:dyDescent="0.25">
      <c r="AP656" s="1">
        <v>651</v>
      </c>
      <c r="AQ656" s="7">
        <f t="shared" si="127"/>
        <v>-14524.941645877905</v>
      </c>
      <c r="AR656" s="7">
        <f t="shared" si="128"/>
        <v>-18746.928213054576</v>
      </c>
      <c r="AS656" s="7"/>
      <c r="AT656" s="7">
        <f t="shared" si="129"/>
        <v>-2418.8537670881897</v>
      </c>
      <c r="AU656" s="7">
        <f t="shared" si="130"/>
        <v>-9988.4128595375569</v>
      </c>
      <c r="AV656" s="7"/>
      <c r="AX656" s="7">
        <f t="shared" si="131"/>
        <v>205.04381833032119</v>
      </c>
      <c r="AY656" s="7">
        <f t="shared" si="132"/>
        <v>155.8806510217259</v>
      </c>
      <c r="BB656" s="7">
        <f t="shared" si="133"/>
        <v>-36.095078982730129</v>
      </c>
      <c r="BC656" s="7">
        <f t="shared" si="134"/>
        <v>189.51809775321692</v>
      </c>
      <c r="BF656" s="7">
        <f t="shared" si="135"/>
        <v>1702.0824293043574</v>
      </c>
      <c r="BG656" s="7">
        <f t="shared" si="136"/>
        <v>669.56637766541951</v>
      </c>
      <c r="BI656" s="10">
        <f t="shared" si="137"/>
        <v>1871.0311686519485</v>
      </c>
      <c r="BJ656">
        <f t="shared" si="138"/>
        <v>1014.9651264403624</v>
      </c>
    </row>
    <row r="657" spans="42:62" x14ac:dyDescent="0.25">
      <c r="AP657" s="1">
        <v>652</v>
      </c>
      <c r="AQ657" s="7">
        <f t="shared" si="127"/>
        <v>-15500.489633340507</v>
      </c>
      <c r="AR657" s="7">
        <f t="shared" si="128"/>
        <v>-23614.26400201831</v>
      </c>
      <c r="AS657" s="7"/>
      <c r="AT657" s="7">
        <f t="shared" si="129"/>
        <v>-1483.3381827622154</v>
      </c>
      <c r="AU657" s="7">
        <f t="shared" si="130"/>
        <v>-9480.9302963173759</v>
      </c>
      <c r="AV657" s="7"/>
      <c r="AX657" s="7">
        <f t="shared" si="131"/>
        <v>165.44420612350964</v>
      </c>
      <c r="AY657" s="7">
        <f t="shared" si="132"/>
        <v>145.00292137088562</v>
      </c>
      <c r="BB657" s="7">
        <f t="shared" si="133"/>
        <v>-19.459870343442837</v>
      </c>
      <c r="BC657" s="7">
        <f t="shared" si="134"/>
        <v>145.37786689336377</v>
      </c>
      <c r="BF657" s="7">
        <f t="shared" si="135"/>
        <v>1145.9430113623653</v>
      </c>
      <c r="BG657" s="7">
        <f t="shared" si="136"/>
        <v>940.09479327516738</v>
      </c>
      <c r="BI657" s="10">
        <f t="shared" si="137"/>
        <v>1291.9273471424322</v>
      </c>
      <c r="BJ657">
        <f t="shared" si="138"/>
        <v>1230.4755815394167</v>
      </c>
    </row>
    <row r="658" spans="42:62" x14ac:dyDescent="0.25">
      <c r="AP658" s="1">
        <v>653</v>
      </c>
      <c r="AQ658" s="7">
        <f t="shared" si="127"/>
        <v>-16080.667806328809</v>
      </c>
      <c r="AR658" s="7">
        <f t="shared" si="128"/>
        <v>-28200.919702484571</v>
      </c>
      <c r="AS658" s="7"/>
      <c r="AT658" s="7">
        <f t="shared" si="129"/>
        <v>-837.37450919099933</v>
      </c>
      <c r="AU658" s="7">
        <f t="shared" si="130"/>
        <v>-8865.6925055476677</v>
      </c>
      <c r="AV658" s="7"/>
      <c r="AX658" s="7">
        <f t="shared" si="131"/>
        <v>136.4438286217659</v>
      </c>
      <c r="AY658" s="7">
        <f t="shared" si="132"/>
        <v>135.00776082284133</v>
      </c>
      <c r="BB658" s="7">
        <f t="shared" si="133"/>
        <v>-11.834988230769257</v>
      </c>
      <c r="BC658" s="7">
        <f t="shared" si="134"/>
        <v>115.35318078256151</v>
      </c>
      <c r="BF658" s="7">
        <f t="shared" si="135"/>
        <v>733.33797143419042</v>
      </c>
      <c r="BG658" s="7">
        <f t="shared" si="136"/>
        <v>873.65994946229193</v>
      </c>
      <c r="BI658" s="10">
        <f t="shared" si="137"/>
        <v>857.94681182518707</v>
      </c>
      <c r="BJ658">
        <f t="shared" si="138"/>
        <v>1124.0208910676947</v>
      </c>
    </row>
    <row r="659" spans="42:62" x14ac:dyDescent="0.25">
      <c r="AP659" s="1">
        <v>654</v>
      </c>
      <c r="AQ659" s="7">
        <f t="shared" si="127"/>
        <v>-16392.111709446162</v>
      </c>
      <c r="AR659" s="7">
        <f t="shared" si="128"/>
        <v>-32493.263343874944</v>
      </c>
      <c r="AS659" s="7"/>
      <c r="AT659" s="7">
        <f t="shared" si="129"/>
        <v>-408.4011032784058</v>
      </c>
      <c r="AU659" s="7">
        <f t="shared" si="130"/>
        <v>-8303.6820600138199</v>
      </c>
      <c r="AV659" s="7"/>
      <c r="AX659" s="7">
        <f t="shared" si="131"/>
        <v>114.59513474472345</v>
      </c>
      <c r="AY659" s="7">
        <f t="shared" si="132"/>
        <v>125.9348025298284</v>
      </c>
      <c r="BB659" s="7">
        <f t="shared" si="133"/>
        <v>-8.0276261473516541</v>
      </c>
      <c r="BC659" s="7">
        <f t="shared" si="134"/>
        <v>94.548390757748678</v>
      </c>
      <c r="BF659" s="7">
        <f t="shared" si="135"/>
        <v>480.9561860040871</v>
      </c>
      <c r="BG659" s="7">
        <f t="shared" si="136"/>
        <v>738.5367553637011</v>
      </c>
      <c r="BI659" s="10">
        <f t="shared" si="137"/>
        <v>587.52369460145883</v>
      </c>
      <c r="BJ659">
        <f t="shared" si="138"/>
        <v>959.01994865127813</v>
      </c>
    </row>
    <row r="660" spans="42:62" x14ac:dyDescent="0.25">
      <c r="AP660" s="1">
        <v>655</v>
      </c>
      <c r="AQ660" s="7">
        <f t="shared" si="127"/>
        <v>-16522.871799260181</v>
      </c>
      <c r="AR660" s="7">
        <f t="shared" si="128"/>
        <v>-36525.226880300448</v>
      </c>
      <c r="AS660" s="7"/>
      <c r="AT660" s="7">
        <f t="shared" si="129"/>
        <v>-114.63925597767638</v>
      </c>
      <c r="AU660" s="7">
        <f t="shared" si="130"/>
        <v>-7824.1720856881811</v>
      </c>
      <c r="AV660" s="7"/>
      <c r="AX660" s="7">
        <f t="shared" si="131"/>
        <v>97.657364102523331</v>
      </c>
      <c r="AY660" s="7">
        <f t="shared" si="132"/>
        <v>117.71767660484979</v>
      </c>
      <c r="BB660" s="7">
        <f t="shared" si="133"/>
        <v>-5.9472646671403808</v>
      </c>
      <c r="BC660" s="7">
        <f t="shared" si="134"/>
        <v>79.576541899441182</v>
      </c>
      <c r="BF660" s="7">
        <f t="shared" si="135"/>
        <v>328.50403080045538</v>
      </c>
      <c r="BG660" s="7">
        <f t="shared" si="136"/>
        <v>613.65985122970869</v>
      </c>
      <c r="BI660" s="10">
        <f t="shared" si="137"/>
        <v>420.21413023583835</v>
      </c>
      <c r="BJ660">
        <f t="shared" si="138"/>
        <v>810.95406973399963</v>
      </c>
    </row>
    <row r="661" spans="42:62" x14ac:dyDescent="0.25">
      <c r="AP661" s="1">
        <v>656</v>
      </c>
      <c r="AQ661" s="7">
        <f t="shared" si="127"/>
        <v>-16527.664660969542</v>
      </c>
      <c r="AR661" s="7">
        <f t="shared" si="128"/>
        <v>-40335.943664427788</v>
      </c>
      <c r="AS661" s="7"/>
      <c r="AT661" s="7">
        <f t="shared" si="129"/>
        <v>95.467809140242792</v>
      </c>
      <c r="AU661" s="7">
        <f t="shared" si="130"/>
        <v>-7418.6950508211812</v>
      </c>
      <c r="AV661" s="7"/>
      <c r="AX661" s="7">
        <f t="shared" si="131"/>
        <v>84.209309504564587</v>
      </c>
      <c r="AY661" s="7">
        <f t="shared" si="132"/>
        <v>110.27893030853824</v>
      </c>
      <c r="BB661" s="7">
        <f t="shared" si="133"/>
        <v>-4.7181041356315259</v>
      </c>
      <c r="BC661" s="7">
        <f t="shared" si="134"/>
        <v>68.394956358208191</v>
      </c>
      <c r="BF661" s="7">
        <f t="shared" si="135"/>
        <v>233.28078027008468</v>
      </c>
      <c r="BG661" s="7">
        <f t="shared" si="136"/>
        <v>512.71344897185156</v>
      </c>
      <c r="BI661" s="10">
        <f t="shared" si="137"/>
        <v>312.77198563901771</v>
      </c>
      <c r="BJ661">
        <f t="shared" si="138"/>
        <v>691.38733563859796</v>
      </c>
    </row>
    <row r="662" spans="42:62" x14ac:dyDescent="0.25">
      <c r="AP662" s="1">
        <v>657</v>
      </c>
      <c r="AQ662" s="7">
        <f t="shared" si="127"/>
        <v>-16440.83425819454</v>
      </c>
      <c r="AR662" s="7">
        <f t="shared" si="128"/>
        <v>-43958.867772883554</v>
      </c>
      <c r="AS662" s="7"/>
      <c r="AT662" s="7">
        <f t="shared" si="129"/>
        <v>251.85380195975165</v>
      </c>
      <c r="AU662" s="7">
        <f t="shared" si="130"/>
        <v>-7073.0013830018825</v>
      </c>
      <c r="AV662" s="7"/>
      <c r="AX662" s="7">
        <f t="shared" si="131"/>
        <v>73.323594261578876</v>
      </c>
      <c r="AY662" s="7">
        <f t="shared" si="132"/>
        <v>103.54178817656111</v>
      </c>
      <c r="BB662" s="7">
        <f t="shared" si="133"/>
        <v>-3.9427463384279546</v>
      </c>
      <c r="BC662" s="7">
        <f t="shared" si="134"/>
        <v>59.774156015936171</v>
      </c>
      <c r="BF662" s="7">
        <f t="shared" si="135"/>
        <v>171.26941999179385</v>
      </c>
      <c r="BG662" s="7">
        <f t="shared" si="136"/>
        <v>433.51458251642487</v>
      </c>
      <c r="BI662" s="10">
        <f t="shared" si="137"/>
        <v>240.65026791494478</v>
      </c>
      <c r="BJ662">
        <f t="shared" si="138"/>
        <v>596.83052670892221</v>
      </c>
    </row>
    <row r="663" spans="42:62" x14ac:dyDescent="0.25">
      <c r="AP663" s="1">
        <v>658</v>
      </c>
      <c r="AQ663" s="7">
        <f t="shared" si="127"/>
        <v>-16284.826073725297</v>
      </c>
      <c r="AR663" s="7">
        <f t="shared" si="128"/>
        <v>-47420.764648545883</v>
      </c>
      <c r="AS663" s="7"/>
      <c r="AT663" s="7">
        <f t="shared" si="129"/>
        <v>372.17893591722407</v>
      </c>
      <c r="AU663" s="7">
        <f t="shared" si="130"/>
        <v>-6774.5861196474216</v>
      </c>
      <c r="AV663" s="7"/>
      <c r="AX663" s="7">
        <f t="shared" si="131"/>
        <v>64.371681476653933</v>
      </c>
      <c r="AY663" s="7">
        <f t="shared" si="132"/>
        <v>97.433069163048742</v>
      </c>
      <c r="BB663" s="7">
        <f t="shared" si="133"/>
        <v>-3.4258891336555131</v>
      </c>
      <c r="BC663" s="7">
        <f t="shared" si="134"/>
        <v>52.949653921827867</v>
      </c>
      <c r="BF663" s="7">
        <f t="shared" si="135"/>
        <v>129.2606095893008</v>
      </c>
      <c r="BG663" s="7">
        <f t="shared" si="136"/>
        <v>371.35953841412368</v>
      </c>
      <c r="BI663" s="10">
        <f t="shared" si="137"/>
        <v>190.20640193229923</v>
      </c>
      <c r="BJ663">
        <f t="shared" si="138"/>
        <v>521.74226149900028</v>
      </c>
    </row>
    <row r="664" spans="42:62" x14ac:dyDescent="0.25">
      <c r="AP664" s="1">
        <v>659</v>
      </c>
      <c r="AQ664" s="7">
        <f t="shared" si="127"/>
        <v>-16074.960805525146</v>
      </c>
      <c r="AR664" s="7">
        <f t="shared" si="128"/>
        <v>-50742.839925682223</v>
      </c>
      <c r="AS664" s="7"/>
      <c r="AT664" s="7">
        <f t="shared" si="129"/>
        <v>467.28213688337371</v>
      </c>
      <c r="AU664" s="7">
        <f t="shared" si="130"/>
        <v>-6513.7149888979211</v>
      </c>
      <c r="AV664" s="7"/>
      <c r="AX664" s="7">
        <f t="shared" si="131"/>
        <v>56.912486818334258</v>
      </c>
      <c r="AY664" s="7">
        <f t="shared" si="132"/>
        <v>91.884919221452478</v>
      </c>
      <c r="BB664" s="7">
        <f t="shared" si="133"/>
        <v>-3.0646313432745589</v>
      </c>
      <c r="BC664" s="7">
        <f t="shared" si="134"/>
        <v>47.427401840419414</v>
      </c>
      <c r="BF664" s="7">
        <f t="shared" si="135"/>
        <v>99.796371219510831</v>
      </c>
      <c r="BG664" s="7">
        <f t="shared" si="136"/>
        <v>322.07840590130178</v>
      </c>
      <c r="BI664" s="10">
        <f t="shared" si="137"/>
        <v>153.64422669457053</v>
      </c>
      <c r="BJ664">
        <f t="shared" si="138"/>
        <v>461.39072696317368</v>
      </c>
    </row>
    <row r="665" spans="42:62" x14ac:dyDescent="0.25">
      <c r="AP665" s="1">
        <v>660</v>
      </c>
      <c r="AQ665" s="7">
        <f t="shared" si="127"/>
        <v>-15822.11420874664</v>
      </c>
      <c r="AR665" s="7">
        <f t="shared" si="128"/>
        <v>-53942.023579260785</v>
      </c>
      <c r="AS665" s="7"/>
      <c r="AT665" s="7">
        <f t="shared" si="129"/>
        <v>544.10425023065898</v>
      </c>
      <c r="AU665" s="7">
        <f t="shared" si="130"/>
        <v>-6283.0196254163338</v>
      </c>
      <c r="AV665" s="7"/>
      <c r="AX665" s="7">
        <f t="shared" si="131"/>
        <v>50.627224172751944</v>
      </c>
      <c r="AY665" s="7">
        <f t="shared" si="132"/>
        <v>86.835720617942343</v>
      </c>
      <c r="BB665" s="7">
        <f t="shared" si="133"/>
        <v>-2.8014762548699252</v>
      </c>
      <c r="BC665" s="7">
        <f t="shared" si="134"/>
        <v>42.876246430827528</v>
      </c>
      <c r="BF665" s="7">
        <f t="shared" si="135"/>
        <v>78.503248703027353</v>
      </c>
      <c r="BG665" s="7">
        <f t="shared" si="136"/>
        <v>282.48411567964035</v>
      </c>
      <c r="BI665" s="10">
        <f t="shared" si="137"/>
        <v>126.32899662090938</v>
      </c>
      <c r="BJ665">
        <f t="shared" si="138"/>
        <v>412.1960827284102</v>
      </c>
    </row>
    <row r="666" spans="42:62" x14ac:dyDescent="0.25">
      <c r="AP666" s="1">
        <v>661</v>
      </c>
      <c r="AQ666" s="7">
        <f t="shared" si="127"/>
        <v>-15534.270959053696</v>
      </c>
      <c r="AR666" s="7">
        <f t="shared" si="128"/>
        <v>-57032.008881627902</v>
      </c>
      <c r="AS666" s="7"/>
      <c r="AT666" s="7">
        <f t="shared" si="129"/>
        <v>607.26874854111361</v>
      </c>
      <c r="AU666" s="7">
        <f t="shared" si="130"/>
        <v>-6076.9215840521283</v>
      </c>
      <c r="AV666" s="7"/>
      <c r="AX666" s="7">
        <f t="shared" si="131"/>
        <v>45.279771132936283</v>
      </c>
      <c r="AY666" s="7">
        <f t="shared" si="132"/>
        <v>82.230323404573298</v>
      </c>
      <c r="BB666" s="7">
        <f t="shared" si="133"/>
        <v>-2.6026689184401977</v>
      </c>
      <c r="BC666" s="7">
        <f t="shared" si="134"/>
        <v>39.066885710524673</v>
      </c>
      <c r="BF666" s="7">
        <f t="shared" si="135"/>
        <v>62.715581523065744</v>
      </c>
      <c r="BG666" s="7">
        <f t="shared" si="136"/>
        <v>250.23676435134698</v>
      </c>
      <c r="BI666" s="10">
        <f t="shared" si="137"/>
        <v>105.39268373756184</v>
      </c>
      <c r="BJ666">
        <f t="shared" si="138"/>
        <v>371.53397346644493</v>
      </c>
    </row>
    <row r="667" spans="42:62" x14ac:dyDescent="0.25">
      <c r="AP667" s="1">
        <v>662</v>
      </c>
      <c r="AQ667" s="7">
        <f t="shared" si="127"/>
        <v>-15217.462499315943</v>
      </c>
      <c r="AR667" s="7">
        <f t="shared" si="128"/>
        <v>-60024.027926970659</v>
      </c>
      <c r="AS667" s="7"/>
      <c r="AT667" s="7">
        <f t="shared" si="129"/>
        <v>659.96509040989451</v>
      </c>
      <c r="AU667" s="7">
        <f t="shared" si="130"/>
        <v>-5891.1545973189059</v>
      </c>
      <c r="AV667" s="7"/>
      <c r="AX667" s="7">
        <f t="shared" si="131"/>
        <v>40.691595856730302</v>
      </c>
      <c r="AY667" s="7">
        <f t="shared" si="132"/>
        <v>78.019830505284986</v>
      </c>
      <c r="BB667" s="7">
        <f t="shared" si="133"/>
        <v>-2.447543651697218</v>
      </c>
      <c r="BC667" s="7">
        <f t="shared" si="134"/>
        <v>35.835968875186424</v>
      </c>
      <c r="BF667" s="7">
        <f t="shared" si="135"/>
        <v>50.749168413968484</v>
      </c>
      <c r="BG667" s="7">
        <f t="shared" si="136"/>
        <v>223.63008194001495</v>
      </c>
      <c r="BI667" s="10">
        <f t="shared" si="137"/>
        <v>88.993220619001562</v>
      </c>
      <c r="BJ667">
        <f t="shared" si="138"/>
        <v>337.48588132048633</v>
      </c>
    </row>
    <row r="668" spans="42:62" x14ac:dyDescent="0.25">
      <c r="AP668" s="1">
        <v>663</v>
      </c>
      <c r="AQ668" s="7">
        <f t="shared" si="127"/>
        <v>-14876.35580153362</v>
      </c>
      <c r="AR668" s="7">
        <f t="shared" si="128"/>
        <v>-62927.41949046505</v>
      </c>
      <c r="AS668" s="7"/>
      <c r="AT668" s="7">
        <f t="shared" si="129"/>
        <v>704.46170071939525</v>
      </c>
      <c r="AU668" s="7">
        <f t="shared" si="130"/>
        <v>-5722.4116566586627</v>
      </c>
      <c r="AV668" s="7"/>
      <c r="AX668" s="7">
        <f t="shared" si="131"/>
        <v>36.725330267068891</v>
      </c>
      <c r="AY668" s="7">
        <f t="shared" si="132"/>
        <v>74.161138146520429</v>
      </c>
      <c r="BB668" s="7">
        <f t="shared" si="133"/>
        <v>-2.3229845790541179</v>
      </c>
      <c r="BC668" s="7">
        <f t="shared" si="134"/>
        <v>33.064214513035274</v>
      </c>
      <c r="BF668" s="7">
        <f t="shared" si="135"/>
        <v>41.504884562327113</v>
      </c>
      <c r="BG668" s="7">
        <f t="shared" si="136"/>
        <v>201.4125506710773</v>
      </c>
      <c r="BI668" s="10">
        <f t="shared" si="137"/>
        <v>75.907230250341883</v>
      </c>
      <c r="BJ668">
        <f t="shared" si="138"/>
        <v>308.63790333063298</v>
      </c>
    </row>
    <row r="669" spans="42:62" x14ac:dyDescent="0.25">
      <c r="AP669" s="1">
        <v>664</v>
      </c>
      <c r="AQ669" s="7">
        <f t="shared" si="127"/>
        <v>-14514.636547392629</v>
      </c>
      <c r="AR669" s="7">
        <f t="shared" si="128"/>
        <v>-65750.045580878053</v>
      </c>
      <c r="AS669" s="7"/>
      <c r="AT669" s="7">
        <f t="shared" si="129"/>
        <v>742.41531584456618</v>
      </c>
      <c r="AU669" s="7">
        <f t="shared" si="130"/>
        <v>-5568.0927049933462</v>
      </c>
      <c r="AV669" s="7"/>
      <c r="AX669" s="7">
        <f t="shared" si="131"/>
        <v>33.273676860044304</v>
      </c>
      <c r="AY669" s="7">
        <f t="shared" si="132"/>
        <v>70.616370052020017</v>
      </c>
      <c r="BB669" s="7">
        <f t="shared" si="133"/>
        <v>-2.220402931443604</v>
      </c>
      <c r="BC669" s="7">
        <f t="shared" si="134"/>
        <v>30.66262148678943</v>
      </c>
      <c r="BF669" s="7">
        <f t="shared" si="135"/>
        <v>34.244441340735278</v>
      </c>
      <c r="BG669" s="7">
        <f t="shared" si="136"/>
        <v>182.65615825443933</v>
      </c>
      <c r="BI669" s="10">
        <f t="shared" si="137"/>
        <v>65.297715269335981</v>
      </c>
      <c r="BJ669">
        <f t="shared" si="138"/>
        <v>283.9351497932488</v>
      </c>
    </row>
    <row r="670" spans="42:62" x14ac:dyDescent="0.25">
      <c r="AP670" s="1">
        <v>665</v>
      </c>
      <c r="AQ670" s="7">
        <f t="shared" si="127"/>
        <v>-14135.266675061679</v>
      </c>
      <c r="AR670" s="7">
        <f t="shared" si="128"/>
        <v>-68498.60003965057</v>
      </c>
      <c r="AS670" s="7"/>
      <c r="AT670" s="7">
        <f t="shared" si="129"/>
        <v>775.06417347923411</v>
      </c>
      <c r="AU670" s="7">
        <f t="shared" si="130"/>
        <v>-5426.1251300967215</v>
      </c>
      <c r="AV670" s="7"/>
      <c r="AX670" s="7">
        <f t="shared" si="131"/>
        <v>30.251719800622588</v>
      </c>
      <c r="AY670" s="7">
        <f t="shared" si="132"/>
        <v>67.352289218198692</v>
      </c>
      <c r="BB670" s="7">
        <f t="shared" si="133"/>
        <v>-2.1340175346056345</v>
      </c>
      <c r="BC670" s="7">
        <f t="shared" si="134"/>
        <v>28.563513402098408</v>
      </c>
      <c r="BF670" s="7">
        <f t="shared" si="135"/>
        <v>28.45905956281177</v>
      </c>
      <c r="BG670" s="7">
        <f t="shared" si="136"/>
        <v>166.66397371975788</v>
      </c>
      <c r="BI670" s="10">
        <f t="shared" si="137"/>
        <v>56.576761828828722</v>
      </c>
      <c r="BJ670">
        <f t="shared" si="138"/>
        <v>262.57977634005499</v>
      </c>
    </row>
    <row r="671" spans="42:62" x14ac:dyDescent="0.25">
      <c r="AP671" s="1">
        <v>666</v>
      </c>
      <c r="AQ671" s="7">
        <f t="shared" si="127"/>
        <v>-13740.662493093459</v>
      </c>
      <c r="AR671" s="7">
        <f t="shared" si="128"/>
        <v>-71178.84013265642</v>
      </c>
      <c r="AS671" s="7"/>
      <c r="AT671" s="7">
        <f t="shared" si="129"/>
        <v>803.35255439364846</v>
      </c>
      <c r="AU671" s="7">
        <f t="shared" si="130"/>
        <v>-5294.8352419266939</v>
      </c>
      <c r="AV671" s="7"/>
      <c r="AX671" s="7">
        <f t="shared" si="131"/>
        <v>27.591474713284807</v>
      </c>
      <c r="AY671" s="7">
        <f t="shared" si="132"/>
        <v>64.339733353935557</v>
      </c>
      <c r="BB671" s="7">
        <f t="shared" si="133"/>
        <v>-2.0598405347864297</v>
      </c>
      <c r="BC671" s="7">
        <f t="shared" si="134"/>
        <v>26.71456288907379</v>
      </c>
      <c r="BF671" s="7">
        <f t="shared" si="135"/>
        <v>23.790047504184713</v>
      </c>
      <c r="BG671" s="7">
        <f t="shared" si="136"/>
        <v>152.90571813543244</v>
      </c>
      <c r="BI671" s="10">
        <f t="shared" si="137"/>
        <v>49.321681682683092</v>
      </c>
      <c r="BJ671">
        <f t="shared" si="138"/>
        <v>243.96001437844177</v>
      </c>
    </row>
    <row r="672" spans="42:62" x14ac:dyDescent="0.25">
      <c r="AP672" s="1">
        <v>667</v>
      </c>
      <c r="AQ672" s="7">
        <f t="shared" si="127"/>
        <v>-13332.821005686299</v>
      </c>
      <c r="AR672" s="7">
        <f t="shared" si="128"/>
        <v>-73795.762751822462</v>
      </c>
      <c r="AS672" s="7"/>
      <c r="AT672" s="7">
        <f t="shared" si="129"/>
        <v>828.01339523498996</v>
      </c>
      <c r="AU672" s="7">
        <f t="shared" si="130"/>
        <v>-5172.8552347374734</v>
      </c>
      <c r="AV672" s="7"/>
      <c r="AX672" s="7">
        <f t="shared" si="131"/>
        <v>25.237949405858522</v>
      </c>
      <c r="AY672" s="7">
        <f t="shared" si="132"/>
        <v>61.553096477827779</v>
      </c>
      <c r="BB672" s="7">
        <f t="shared" si="133"/>
        <v>-1.9950597946200888</v>
      </c>
      <c r="BC672" s="7">
        <f t="shared" si="134"/>
        <v>25.074706614036746</v>
      </c>
      <c r="BF672" s="7">
        <f t="shared" si="135"/>
        <v>19.979339924067137</v>
      </c>
      <c r="BG672" s="7">
        <f t="shared" si="136"/>
        <v>140.97273052089477</v>
      </c>
      <c r="BI672" s="10">
        <f t="shared" si="137"/>
        <v>43.222229535305573</v>
      </c>
      <c r="BJ672">
        <f t="shared" si="138"/>
        <v>227.60053361275931</v>
      </c>
    </row>
    <row r="673" spans="42:62" x14ac:dyDescent="0.25">
      <c r="AP673" s="1">
        <v>668</v>
      </c>
      <c r="AQ673" s="7">
        <f t="shared" si="127"/>
        <v>-12913.411529376892</v>
      </c>
      <c r="AR673" s="7">
        <f t="shared" si="128"/>
        <v>-76353.740302489605</v>
      </c>
      <c r="AS673" s="7"/>
      <c r="AT673" s="7">
        <f t="shared" si="129"/>
        <v>849.62451000264275</v>
      </c>
      <c r="AU673" s="7">
        <f t="shared" si="130"/>
        <v>-5059.0549679310934</v>
      </c>
      <c r="AV673" s="7"/>
      <c r="AX673" s="7">
        <f t="shared" si="131"/>
        <v>23.14624771448862</v>
      </c>
      <c r="AY673" s="7">
        <f t="shared" si="132"/>
        <v>58.969865311454292</v>
      </c>
      <c r="BB673" s="7">
        <f t="shared" si="133"/>
        <v>-1.9376521130505209</v>
      </c>
      <c r="BC673" s="7">
        <f t="shared" si="134"/>
        <v>23.611291675897547</v>
      </c>
      <c r="BF673" s="7">
        <f t="shared" si="135"/>
        <v>16.837865070583725</v>
      </c>
      <c r="BG673" s="7">
        <f t="shared" si="136"/>
        <v>130.54622484296596</v>
      </c>
      <c r="BI673" s="10">
        <f t="shared" si="137"/>
        <v>38.046460672021823</v>
      </c>
      <c r="BJ673">
        <f t="shared" si="138"/>
        <v>213.1273818303178</v>
      </c>
    </row>
    <row r="674" spans="42:62" x14ac:dyDescent="0.25">
      <c r="AP674" s="1">
        <v>669</v>
      </c>
      <c r="AQ674" s="7">
        <f t="shared" si="127"/>
        <v>-12483.843466791568</v>
      </c>
      <c r="AR674" s="7">
        <f t="shared" si="128"/>
        <v>-78856.626863726357</v>
      </c>
      <c r="AS674" s="7"/>
      <c r="AT674" s="7">
        <f t="shared" si="129"/>
        <v>868.64774033865365</v>
      </c>
      <c r="AU674" s="7">
        <f t="shared" si="130"/>
        <v>-4952.4912770159344</v>
      </c>
      <c r="AV674" s="7"/>
      <c r="AX674" s="7">
        <f t="shared" si="131"/>
        <v>21.27940795171601</v>
      </c>
      <c r="AY674" s="7">
        <f t="shared" si="132"/>
        <v>56.570211411280773</v>
      </c>
      <c r="BB674" s="7">
        <f t="shared" si="133"/>
        <v>-1.8861348672480713</v>
      </c>
      <c r="BC674" s="7">
        <f t="shared" si="134"/>
        <v>22.298043072046582</v>
      </c>
      <c r="BF674" s="7">
        <f t="shared" si="135"/>
        <v>14.224820031051916</v>
      </c>
      <c r="BG674" s="7">
        <f t="shared" si="136"/>
        <v>121.3746691732938</v>
      </c>
      <c r="BI674" s="10">
        <f t="shared" si="137"/>
        <v>33.618093115519855</v>
      </c>
      <c r="BJ674">
        <f t="shared" si="138"/>
        <v>200.24292365662117</v>
      </c>
    </row>
    <row r="675" spans="42:62" x14ac:dyDescent="0.25">
      <c r="AP675" s="1">
        <v>670</v>
      </c>
      <c r="AQ675" s="7">
        <f t="shared" si="127"/>
        <v>-12045.317334982801</v>
      </c>
      <c r="AR675" s="7">
        <f t="shared" si="128"/>
        <v>-81307.842136777253</v>
      </c>
      <c r="AS675" s="7"/>
      <c r="AT675" s="7">
        <f t="shared" si="129"/>
        <v>885.45678689641363</v>
      </c>
      <c r="AU675" s="7">
        <f t="shared" si="130"/>
        <v>-4852.3698151876242</v>
      </c>
      <c r="AV675" s="7"/>
      <c r="AX675" s="7">
        <f t="shared" si="131"/>
        <v>19.606767844558799</v>
      </c>
      <c r="AY675" s="7">
        <f t="shared" si="132"/>
        <v>54.336636000517018</v>
      </c>
      <c r="BB675" s="7">
        <f t="shared" si="133"/>
        <v>-1.839402921976951</v>
      </c>
      <c r="BC675" s="7">
        <f t="shared" si="134"/>
        <v>21.11359040938374</v>
      </c>
      <c r="BF675" s="7">
        <f t="shared" si="135"/>
        <v>12.033792759155856</v>
      </c>
      <c r="BG675" s="7">
        <f t="shared" si="136"/>
        <v>113.25747196918103</v>
      </c>
      <c r="BI675" s="10">
        <f t="shared" si="137"/>
        <v>29.801157681737706</v>
      </c>
      <c r="BJ675">
        <f t="shared" si="138"/>
        <v>188.70769837908179</v>
      </c>
    </row>
    <row r="676" spans="42:62" x14ac:dyDescent="0.25">
      <c r="AP676" s="1">
        <v>671</v>
      </c>
      <c r="AQ676" s="7">
        <f t="shared" si="127"/>
        <v>-11598.863796824377</v>
      </c>
      <c r="AR676" s="7">
        <f t="shared" si="128"/>
        <v>-83710.438582073679</v>
      </c>
      <c r="AS676" s="7"/>
      <c r="AT676" s="7">
        <f t="shared" si="129"/>
        <v>900.35736573728252</v>
      </c>
      <c r="AU676" s="7">
        <f t="shared" si="130"/>
        <v>-4758.0159659980836</v>
      </c>
      <c r="AV676" s="7"/>
      <c r="AX676" s="7">
        <f t="shared" si="131"/>
        <v>18.102712742657598</v>
      </c>
      <c r="AY676" s="7">
        <f t="shared" si="132"/>
        <v>52.253662644320499</v>
      </c>
      <c r="BB676" s="7">
        <f t="shared" si="133"/>
        <v>-1.796619342989292</v>
      </c>
      <c r="BC676" s="7">
        <f t="shared" si="134"/>
        <v>20.040382934503899</v>
      </c>
      <c r="BF676" s="7">
        <f t="shared" si="135"/>
        <v>10.183282536040583</v>
      </c>
      <c r="BG676" s="7">
        <f t="shared" si="136"/>
        <v>106.03307338957974</v>
      </c>
      <c r="BI676" s="10">
        <f t="shared" si="137"/>
        <v>26.489375935708889</v>
      </c>
      <c r="BJ676">
        <f t="shared" si="138"/>
        <v>178.32711896840414</v>
      </c>
    </row>
    <row r="677" spans="42:62" x14ac:dyDescent="0.25">
      <c r="AP677" s="1">
        <v>672</v>
      </c>
      <c r="AQ677" s="7">
        <f t="shared" si="127"/>
        <v>-11145.373941963771</v>
      </c>
      <c r="AR677" s="7">
        <f t="shared" si="128"/>
        <v>-86067.155675201677</v>
      </c>
      <c r="AS677" s="7"/>
      <c r="AT677" s="7">
        <f t="shared" si="129"/>
        <v>913.602053705137</v>
      </c>
      <c r="AU677" s="7">
        <f t="shared" si="130"/>
        <v>-4668.8524065138818</v>
      </c>
      <c r="AV677" s="7"/>
      <c r="AX677" s="7">
        <f t="shared" si="131"/>
        <v>16.74570676452187</v>
      </c>
      <c r="AY677" s="7">
        <f t="shared" si="132"/>
        <v>50.307572310640971</v>
      </c>
      <c r="BB677" s="7">
        <f t="shared" si="133"/>
        <v>-1.7571408062349281</v>
      </c>
      <c r="BC677" s="7">
        <f t="shared" si="134"/>
        <v>19.063878956539167</v>
      </c>
      <c r="BF677" s="7">
        <f t="shared" si="135"/>
        <v>8.6101067043398345</v>
      </c>
      <c r="BG677" s="7">
        <f t="shared" si="136"/>
        <v>99.570148101009408</v>
      </c>
      <c r="BI677" s="10">
        <f t="shared" si="137"/>
        <v>23.598672662626775</v>
      </c>
      <c r="BJ677">
        <f t="shared" si="138"/>
        <v>168.94159936818954</v>
      </c>
    </row>
    <row r="678" spans="42:62" x14ac:dyDescent="0.25">
      <c r="AP678" s="1">
        <v>673</v>
      </c>
      <c r="AQ678" s="7">
        <f t="shared" si="127"/>
        <v>-10685.623081028374</v>
      </c>
      <c r="AR678" s="7">
        <f t="shared" si="128"/>
        <v>-88380.464178537586</v>
      </c>
      <c r="AS678" s="7"/>
      <c r="AT678" s="7">
        <f t="shared" si="129"/>
        <v>925.40139003645038</v>
      </c>
      <c r="AU678" s="7">
        <f t="shared" si="130"/>
        <v>-4584.3816068297874</v>
      </c>
      <c r="AV678" s="7"/>
      <c r="AX678" s="7">
        <f t="shared" si="131"/>
        <v>15.517535465215179</v>
      </c>
      <c r="AY678" s="7">
        <f t="shared" si="132"/>
        <v>48.486175411299122</v>
      </c>
      <c r="BB678" s="7">
        <f t="shared" si="133"/>
        <v>-1.7204658259569872</v>
      </c>
      <c r="BC678" s="7">
        <f t="shared" si="134"/>
        <v>18.171932275599492</v>
      </c>
      <c r="BF678" s="7">
        <f t="shared" si="135"/>
        <v>7.2647385325038902</v>
      </c>
      <c r="BG678" s="7">
        <f t="shared" si="136"/>
        <v>93.76103165010052</v>
      </c>
      <c r="BI678" s="10">
        <f t="shared" si="137"/>
        <v>21.061808171762081</v>
      </c>
      <c r="BJ678">
        <f t="shared" si="138"/>
        <v>160.41913933699914</v>
      </c>
    </row>
    <row r="679" spans="42:62" x14ac:dyDescent="0.25">
      <c r="AP679" s="1">
        <v>674</v>
      </c>
      <c r="AQ679" s="7">
        <f t="shared" si="127"/>
        <v>-10220.289659988679</v>
      </c>
      <c r="AR679" s="7">
        <f t="shared" si="128"/>
        <v>-90652.602589535352</v>
      </c>
      <c r="AS679" s="7"/>
      <c r="AT679" s="7">
        <f t="shared" si="129"/>
        <v>935.93229412233143</v>
      </c>
      <c r="AU679" s="7">
        <f t="shared" si="130"/>
        <v>-4504.1720371612882</v>
      </c>
      <c r="AV679" s="7"/>
      <c r="AX679" s="7">
        <f t="shared" si="131"/>
        <v>14.402708455327581</v>
      </c>
      <c r="AY679" s="7">
        <f t="shared" si="132"/>
        <v>46.778615795347015</v>
      </c>
      <c r="BB679" s="7">
        <f t="shared" si="133"/>
        <v>-1.6861982624008209</v>
      </c>
      <c r="BC679" s="7">
        <f t="shared" si="134"/>
        <v>17.354322131426073</v>
      </c>
      <c r="BF679" s="7">
        <f t="shared" si="135"/>
        <v>6.1079603587888194</v>
      </c>
      <c r="BG679" s="7">
        <f t="shared" si="136"/>
        <v>88.516754385826246</v>
      </c>
      <c r="BI679" s="10">
        <f t="shared" si="137"/>
        <v>18.824470551715578</v>
      </c>
      <c r="BJ679">
        <f t="shared" si="138"/>
        <v>152.64969231259934</v>
      </c>
    </row>
    <row r="680" spans="42:62" x14ac:dyDescent="0.25">
      <c r="AP680" s="1">
        <v>675</v>
      </c>
      <c r="AQ680" s="7">
        <f t="shared" si="127"/>
        <v>-9749.9704541085484</v>
      </c>
      <c r="AR680" s="7">
        <f t="shared" si="128"/>
        <v>-92885.607396576917</v>
      </c>
      <c r="AS680" s="7"/>
      <c r="AT680" s="7">
        <f t="shared" si="129"/>
        <v>945.34452939818925</v>
      </c>
      <c r="AU680" s="7">
        <f t="shared" si="130"/>
        <v>-4427.8471910049884</v>
      </c>
      <c r="AV680" s="7"/>
      <c r="AX680" s="7">
        <f t="shared" si="131"/>
        <v>13.387984244347251</v>
      </c>
      <c r="AY680" s="7">
        <f t="shared" si="132"/>
        <v>45.175202182393967</v>
      </c>
      <c r="BB680" s="7">
        <f t="shared" si="133"/>
        <v>-1.6540212305827533</v>
      </c>
      <c r="BC680" s="7">
        <f t="shared" si="134"/>
        <v>16.602389114434494</v>
      </c>
      <c r="BF680" s="7">
        <f t="shared" si="135"/>
        <v>5.1084273403404072</v>
      </c>
      <c r="BG680" s="7">
        <f t="shared" si="136"/>
        <v>83.763250758654124</v>
      </c>
      <c r="BI680" s="10">
        <f t="shared" si="137"/>
        <v>16.842390354104907</v>
      </c>
      <c r="BJ680">
        <f t="shared" si="138"/>
        <v>145.54084205548259</v>
      </c>
    </row>
    <row r="681" spans="42:62" x14ac:dyDescent="0.25">
      <c r="AP681" s="1">
        <v>676</v>
      </c>
      <c r="AQ681" s="7">
        <f t="shared" si="127"/>
        <v>-9275.1928906151898</v>
      </c>
      <c r="AR681" s="7">
        <f t="shared" si="128"/>
        <v>-95081.338386822477</v>
      </c>
      <c r="AS681" s="7"/>
      <c r="AT681" s="7">
        <f t="shared" si="129"/>
        <v>953.76572457524173</v>
      </c>
      <c r="AU681" s="7">
        <f t="shared" si="130"/>
        <v>-4355.0767699772468</v>
      </c>
      <c r="AV681" s="7"/>
      <c r="AX681" s="7">
        <f t="shared" si="131"/>
        <v>12.461989379475691</v>
      </c>
      <c r="AY681" s="7">
        <f t="shared" si="132"/>
        <v>43.667263074423424</v>
      </c>
      <c r="BB681" s="7">
        <f t="shared" si="133"/>
        <v>-1.6236781972831342</v>
      </c>
      <c r="BC681" s="7">
        <f t="shared" si="134"/>
        <v>15.908750277728943</v>
      </c>
      <c r="BF681" s="7">
        <f t="shared" si="135"/>
        <v>4.2408712138337092</v>
      </c>
      <c r="BG681" s="7">
        <f t="shared" si="136"/>
        <v>79.438437380326505</v>
      </c>
      <c r="BI681" s="10">
        <f t="shared" si="137"/>
        <v>15.079182396026265</v>
      </c>
      <c r="BJ681">
        <f t="shared" si="138"/>
        <v>139.01445073247888</v>
      </c>
    </row>
    <row r="682" spans="42:62" x14ac:dyDescent="0.25">
      <c r="AP682" s="1">
        <v>677</v>
      </c>
      <c r="AQ682" s="7">
        <f t="shared" si="127"/>
        <v>-8796.425130528065</v>
      </c>
      <c r="AR682" s="7">
        <f t="shared" si="128"/>
        <v>-97241.499965469542</v>
      </c>
      <c r="AS682" s="7"/>
      <c r="AT682" s="7">
        <f t="shared" si="129"/>
        <v>961.30531577325485</v>
      </c>
      <c r="AU682" s="7">
        <f t="shared" si="130"/>
        <v>-4285.5695446110076</v>
      </c>
      <c r="AV682" s="7"/>
      <c r="AX682" s="7">
        <f t="shared" si="131"/>
        <v>11.614910978431624</v>
      </c>
      <c r="AY682" s="7">
        <f t="shared" si="132"/>
        <v>42.247021716477157</v>
      </c>
      <c r="BB682" s="7">
        <f t="shared" si="133"/>
        <v>-1.594959115916081</v>
      </c>
      <c r="BC682" s="7">
        <f t="shared" si="134"/>
        <v>15.26707412296712</v>
      </c>
      <c r="BF682" s="7">
        <f t="shared" si="135"/>
        <v>3.4847601885297368</v>
      </c>
      <c r="BG682" s="7">
        <f t="shared" si="136"/>
        <v>75.48993989637151</v>
      </c>
      <c r="BI682" s="10">
        <f t="shared" si="137"/>
        <v>13.50471205104528</v>
      </c>
      <c r="BJ682">
        <f t="shared" si="138"/>
        <v>133.00403573581579</v>
      </c>
    </row>
    <row r="683" spans="42:62" x14ac:dyDescent="0.25">
      <c r="AP683" s="1">
        <v>678</v>
      </c>
      <c r="AQ683" s="7">
        <f t="shared" si="127"/>
        <v>-8314.0843836350577</v>
      </c>
      <c r="AR683" s="7">
        <f t="shared" si="128"/>
        <v>-99367.659233308063</v>
      </c>
      <c r="AS683" s="7"/>
      <c r="AT683" s="7">
        <f t="shared" si="129"/>
        <v>968.05767179877751</v>
      </c>
      <c r="AU683" s="7">
        <f t="shared" si="130"/>
        <v>-4219.0675267430997</v>
      </c>
      <c r="AV683" s="7"/>
      <c r="AX683" s="7">
        <f t="shared" si="131"/>
        <v>10.838246856904222</v>
      </c>
      <c r="AY683" s="7">
        <f t="shared" si="132"/>
        <v>40.907488163719727</v>
      </c>
      <c r="BB683" s="7">
        <f t="shared" si="133"/>
        <v>-1.5676901384008197</v>
      </c>
      <c r="BC683" s="7">
        <f t="shared" si="134"/>
        <v>14.671901327092726</v>
      </c>
      <c r="BF683" s="7">
        <f t="shared" si="135"/>
        <v>2.8232881388903239</v>
      </c>
      <c r="BG683" s="7">
        <f t="shared" si="136"/>
        <v>71.873309199832676</v>
      </c>
      <c r="BI683" s="10">
        <f t="shared" si="137"/>
        <v>12.093844857393726</v>
      </c>
      <c r="BJ683">
        <f t="shared" si="138"/>
        <v>127.45269869064512</v>
      </c>
    </row>
    <row r="684" spans="42:62" x14ac:dyDescent="0.25">
      <c r="AP684" s="1">
        <v>679</v>
      </c>
      <c r="AQ684" s="7">
        <f t="shared" si="127"/>
        <v>-7828.543817128495</v>
      </c>
      <c r="AR684" s="7">
        <f t="shared" si="128"/>
        <v>-101461.26140934328</v>
      </c>
      <c r="AS684" s="7"/>
      <c r="AT684" s="7">
        <f t="shared" si="129"/>
        <v>974.10459422747442</v>
      </c>
      <c r="AU684" s="7">
        <f t="shared" si="130"/>
        <v>-4155.3411773977768</v>
      </c>
      <c r="AV684" s="7"/>
      <c r="AX684" s="7">
        <f t="shared" si="131"/>
        <v>10.1246011971764</v>
      </c>
      <c r="AY684" s="7">
        <f t="shared" si="132"/>
        <v>39.64236594484953</v>
      </c>
      <c r="BB684" s="7">
        <f t="shared" si="133"/>
        <v>-1.5417258977379977</v>
      </c>
      <c r="BC684" s="7">
        <f t="shared" si="134"/>
        <v>14.118500755165028</v>
      </c>
      <c r="BF684" s="7">
        <f t="shared" si="135"/>
        <v>2.2426043917856946</v>
      </c>
      <c r="BG684" s="7">
        <f t="shared" si="136"/>
        <v>68.550610169711845</v>
      </c>
      <c r="BI684" s="10">
        <f t="shared" si="137"/>
        <v>10.825479691224096</v>
      </c>
      <c r="BJ684">
        <f t="shared" si="138"/>
        <v>122.31147686972641</v>
      </c>
    </row>
    <row r="685" spans="42:62" x14ac:dyDescent="0.25">
      <c r="AP685" s="1">
        <v>680</v>
      </c>
      <c r="AQ685" s="7">
        <f t="shared" si="127"/>
        <v>-7340.1383350533551</v>
      </c>
      <c r="AR685" s="7">
        <f t="shared" si="128"/>
        <v>-103523.64306343345</v>
      </c>
      <c r="AS685" s="7"/>
      <c r="AT685" s="7">
        <f t="shared" si="129"/>
        <v>979.51733407308643</v>
      </c>
      <c r="AU685" s="7">
        <f t="shared" si="130"/>
        <v>-4094.1854389629138</v>
      </c>
      <c r="AV685" s="7"/>
      <c r="AX685" s="7">
        <f t="shared" si="131"/>
        <v>9.4675164830618392</v>
      </c>
      <c r="AY685" s="7">
        <f t="shared" si="132"/>
        <v>38.445971188264629</v>
      </c>
      <c r="BB685" s="7">
        <f t="shared" si="133"/>
        <v>-1.5169436591466794</v>
      </c>
      <c r="BC685" s="7">
        <f t="shared" si="134"/>
        <v>13.602752942011081</v>
      </c>
      <c r="BF685" s="7">
        <f t="shared" si="135"/>
        <v>1.731221264933537</v>
      </c>
      <c r="BG685" s="7">
        <f t="shared" si="136"/>
        <v>65.489296519433324</v>
      </c>
      <c r="BI685" s="10">
        <f t="shared" si="137"/>
        <v>9.6817940888486973</v>
      </c>
      <c r="BJ685">
        <f t="shared" si="138"/>
        <v>117.53802064970904</v>
      </c>
    </row>
    <row r="686" spans="42:62" x14ac:dyDescent="0.25">
      <c r="AP686" s="1">
        <v>681</v>
      </c>
      <c r="AQ686" s="7">
        <f t="shared" si="127"/>
        <v>-6849.1694437557053</v>
      </c>
      <c r="AR686" s="7">
        <f t="shared" si="128"/>
        <v>-105556.0435303337</v>
      </c>
      <c r="AS686" s="7"/>
      <c r="AT686" s="7">
        <f t="shared" si="129"/>
        <v>984.35823111751074</v>
      </c>
      <c r="AU686" s="7">
        <f t="shared" si="130"/>
        <v>-4035.4164286380592</v>
      </c>
      <c r="AV686" s="7"/>
      <c r="AX686" s="7">
        <f t="shared" si="131"/>
        <v>8.8613345072378404</v>
      </c>
      <c r="AY686" s="7">
        <f t="shared" si="132"/>
        <v>37.313162401011404</v>
      </c>
      <c r="BB686" s="7">
        <f t="shared" si="133"/>
        <v>-1.4932388439239008</v>
      </c>
      <c r="BC686" s="7">
        <f t="shared" si="134"/>
        <v>13.121055138812027</v>
      </c>
      <c r="BF686" s="7">
        <f t="shared" si="135"/>
        <v>1.2795542971781788</v>
      </c>
      <c r="BG686" s="7">
        <f t="shared" si="136"/>
        <v>62.661307229561018</v>
      </c>
      <c r="BI686" s="10">
        <f t="shared" si="137"/>
        <v>8.6476499604921191</v>
      </c>
      <c r="BJ686">
        <f t="shared" si="138"/>
        <v>113.09552476938444</v>
      </c>
    </row>
    <row r="687" spans="42:62" x14ac:dyDescent="0.25">
      <c r="AP687" s="1">
        <v>682</v>
      </c>
      <c r="AQ687" s="7">
        <f t="shared" si="127"/>
        <v>-6355.9093719518887</v>
      </c>
      <c r="AR687" s="7">
        <f t="shared" si="128"/>
        <v>-107559.61480405656</v>
      </c>
      <c r="AS687" s="7"/>
      <c r="AT687" s="7">
        <f t="shared" si="129"/>
        <v>988.6820560977568</v>
      </c>
      <c r="AU687" s="7">
        <f t="shared" si="130"/>
        <v>-3978.8686662533669</v>
      </c>
      <c r="AV687" s="7"/>
      <c r="AX687" s="7">
        <f t="shared" si="131"/>
        <v>8.3010808293789733</v>
      </c>
      <c r="AY687" s="7">
        <f t="shared" si="132"/>
        <v>36.239279366399948</v>
      </c>
      <c r="BB687" s="7">
        <f t="shared" si="133"/>
        <v>-1.4705215719222979</v>
      </c>
      <c r="BC687" s="7">
        <f t="shared" si="134"/>
        <v>12.670243423982006</v>
      </c>
      <c r="BF687" s="7">
        <f t="shared" si="135"/>
        <v>0.8795624982307233</v>
      </c>
      <c r="BG687" s="7">
        <f t="shared" si="136"/>
        <v>60.042335952832502</v>
      </c>
      <c r="BI687" s="10">
        <f t="shared" si="137"/>
        <v>7.7101217556873989</v>
      </c>
      <c r="BJ687">
        <f t="shared" si="138"/>
        <v>108.95185874321444</v>
      </c>
    </row>
    <row r="688" spans="42:62" x14ac:dyDescent="0.25">
      <c r="AP688" s="1">
        <v>683</v>
      </c>
      <c r="AQ688" s="7">
        <f t="shared" si="127"/>
        <v>-5860.6045786835493</v>
      </c>
      <c r="AR688" s="7">
        <f t="shared" si="128"/>
        <v>-109535.43015484035</v>
      </c>
      <c r="AS688" s="7"/>
      <c r="AT688" s="7">
        <f t="shared" si="129"/>
        <v>992.5371169756005</v>
      </c>
      <c r="AU688" s="7">
        <f t="shared" si="130"/>
        <v>-3924.3927368817594</v>
      </c>
      <c r="AV688" s="7"/>
      <c r="AX688" s="7">
        <f t="shared" si="131"/>
        <v>7.7823682614104719</v>
      </c>
      <c r="AY688" s="7">
        <f t="shared" si="132"/>
        <v>35.220089860092401</v>
      </c>
      <c r="BB688" s="7">
        <f t="shared" si="133"/>
        <v>-1.4487139670795746</v>
      </c>
      <c r="BC688" s="7">
        <f t="shared" si="134"/>
        <v>12.247528417311843</v>
      </c>
      <c r="BF688" s="7">
        <f t="shared" si="135"/>
        <v>0.52446467740019975</v>
      </c>
      <c r="BG688" s="7">
        <f t="shared" si="136"/>
        <v>57.611236457618908</v>
      </c>
      <c r="BI688" s="10">
        <f t="shared" si="137"/>
        <v>6.8581189717310966</v>
      </c>
      <c r="BJ688">
        <f t="shared" si="138"/>
        <v>105.07885473502316</v>
      </c>
    </row>
    <row r="689" spans="42:62" x14ac:dyDescent="0.25">
      <c r="AP689" s="1">
        <v>684</v>
      </c>
      <c r="AQ689" s="7">
        <f t="shared" si="127"/>
        <v>-5363.4787553242832</v>
      </c>
      <c r="AR689" s="7">
        <f t="shared" si="128"/>
        <v>-111484.49166643935</v>
      </c>
      <c r="AS689" s="7"/>
      <c r="AT689" s="7">
        <f t="shared" si="129"/>
        <v>995.96617646146603</v>
      </c>
      <c r="AU689" s="7">
        <f t="shared" si="130"/>
        <v>-3871.8533095142479</v>
      </c>
      <c r="AV689" s="7"/>
      <c r="AX689" s="7">
        <f t="shared" si="131"/>
        <v>7.3013158759542067</v>
      </c>
      <c r="AY689" s="7">
        <f t="shared" si="132"/>
        <v>34.251743082133352</v>
      </c>
      <c r="BB689" s="7">
        <f t="shared" si="133"/>
        <v>-1.4277480397112319</v>
      </c>
      <c r="BC689" s="7">
        <f t="shared" si="134"/>
        <v>11.850441913932887</v>
      </c>
      <c r="BF689" s="7">
        <f t="shared" si="135"/>
        <v>0.20851413570181587</v>
      </c>
      <c r="BG689" s="7">
        <f t="shared" si="136"/>
        <v>55.349535822273126</v>
      </c>
      <c r="BI689" s="10">
        <f t="shared" si="137"/>
        <v>6.0820819719447909</v>
      </c>
      <c r="BJ689">
        <f t="shared" si="138"/>
        <v>101.45172081833937</v>
      </c>
    </row>
    <row r="690" spans="42:62" x14ac:dyDescent="0.25">
      <c r="AP690" s="1">
        <v>685</v>
      </c>
      <c r="AQ690" s="7">
        <f t="shared" si="127"/>
        <v>-4864.7354068470568</v>
      </c>
      <c r="AR690" s="7">
        <f t="shared" si="128"/>
        <v>-113407.73685609418</v>
      </c>
      <c r="AS690" s="7"/>
      <c r="AT690" s="7">
        <f t="shared" si="129"/>
        <v>999.00721744743839</v>
      </c>
      <c r="AU690" s="7">
        <f t="shared" si="130"/>
        <v>-3821.1274491050781</v>
      </c>
      <c r="AV690" s="7"/>
      <c r="AX690" s="7">
        <f t="shared" si="131"/>
        <v>6.8544807453838033</v>
      </c>
      <c r="AY690" s="7">
        <f t="shared" si="132"/>
        <v>33.330728869120072</v>
      </c>
      <c r="BB690" s="7">
        <f t="shared" si="133"/>
        <v>-1.4075640084972978</v>
      </c>
      <c r="BC690" s="7">
        <f t="shared" si="134"/>
        <v>11.47679234146497</v>
      </c>
      <c r="BF690" s="7">
        <f t="shared" si="135"/>
        <v>-7.3181509626588398E-2</v>
      </c>
      <c r="BG690" s="7">
        <f t="shared" si="136"/>
        <v>53.241033549128247</v>
      </c>
      <c r="BI690" s="10">
        <f t="shared" si="137"/>
        <v>5.3737352272599175</v>
      </c>
      <c r="BJ690">
        <f t="shared" si="138"/>
        <v>98.048554759713284</v>
      </c>
    </row>
    <row r="691" spans="42:62" x14ac:dyDescent="0.25">
      <c r="AP691" s="1">
        <v>686</v>
      </c>
      <c r="AQ691" s="7">
        <f t="shared" si="127"/>
        <v>-4364.56008121993</v>
      </c>
      <c r="AR691" s="7">
        <f t="shared" si="128"/>
        <v>-115306.04451130176</v>
      </c>
      <c r="AS691" s="7"/>
      <c r="AT691" s="7">
        <f t="shared" si="129"/>
        <v>1001.6940850610683</v>
      </c>
      <c r="AU691" s="7">
        <f t="shared" si="130"/>
        <v>-3772.1031717252213</v>
      </c>
      <c r="AV691" s="7"/>
      <c r="AX691" s="7">
        <f t="shared" si="131"/>
        <v>6.4388001728341582</v>
      </c>
      <c r="AY691" s="7">
        <f t="shared" si="132"/>
        <v>32.453841891195665</v>
      </c>
      <c r="BB691" s="7">
        <f t="shared" si="133"/>
        <v>-1.388108960410416</v>
      </c>
      <c r="BC691" s="7">
        <f t="shared" si="134"/>
        <v>11.124627390291916</v>
      </c>
      <c r="BF691" s="7">
        <f t="shared" si="135"/>
        <v>-0.32480533605228334</v>
      </c>
      <c r="BG691" s="7">
        <f t="shared" si="136"/>
        <v>51.271469627083334</v>
      </c>
      <c r="BI691" s="10">
        <f t="shared" si="137"/>
        <v>4.7258858763714588</v>
      </c>
      <c r="BJ691">
        <f t="shared" si="138"/>
        <v>94.84993890857092</v>
      </c>
    </row>
    <row r="692" spans="42:62" x14ac:dyDescent="0.25">
      <c r="AP692" s="1">
        <v>687</v>
      </c>
      <c r="AQ692" s="7">
        <f t="shared" si="127"/>
        <v>-3863.1223029548496</v>
      </c>
      <c r="AR692" s="7">
        <f t="shared" si="128"/>
        <v>-117180.23985480081</v>
      </c>
      <c r="AS692" s="7"/>
      <c r="AT692" s="7">
        <f t="shared" si="129"/>
        <v>1004.057027999254</v>
      </c>
      <c r="AU692" s="7">
        <f t="shared" si="130"/>
        <v>-3724.6782022709358</v>
      </c>
      <c r="AV692" s="7"/>
      <c r="AX692" s="7">
        <f t="shared" si="131"/>
        <v>6.0515426106532084</v>
      </c>
      <c r="AY692" s="7">
        <f t="shared" si="132"/>
        <v>31.618150156920688</v>
      </c>
      <c r="BB692" s="7">
        <f t="shared" si="133"/>
        <v>-1.3693357724111002</v>
      </c>
      <c r="BC692" s="7">
        <f t="shared" si="134"/>
        <v>10.792202509466376</v>
      </c>
      <c r="BF692" s="7">
        <f t="shared" si="135"/>
        <v>-0.5499485333873434</v>
      </c>
      <c r="BG692" s="7">
        <f t="shared" si="136"/>
        <v>49.428248258689322</v>
      </c>
      <c r="BI692" s="10">
        <f t="shared" si="137"/>
        <v>4.1322583048547648</v>
      </c>
      <c r="BJ692">
        <f t="shared" si="138"/>
        <v>91.838600925076392</v>
      </c>
    </row>
    <row r="693" spans="42:62" x14ac:dyDescent="0.25">
      <c r="AP693" s="1">
        <v>688</v>
      </c>
      <c r="AQ693" s="7">
        <f t="shared" si="127"/>
        <v>-3360.5772566671158</v>
      </c>
      <c r="AR693" s="7">
        <f t="shared" si="128"/>
        <v>-119031.09913082064</v>
      </c>
      <c r="AS693" s="7"/>
      <c r="AT693" s="7">
        <f t="shared" si="129"/>
        <v>1006.1231571516814</v>
      </c>
      <c r="AU693" s="7">
        <f t="shared" si="130"/>
        <v>-3678.7589018083977</v>
      </c>
      <c r="AV693" s="7"/>
      <c r="AX693" s="7">
        <f t="shared" si="131"/>
        <v>5.6902658041217524</v>
      </c>
      <c r="AY693" s="7">
        <f t="shared" si="132"/>
        <v>30.82096724885346</v>
      </c>
      <c r="BB693" s="7">
        <f t="shared" si="133"/>
        <v>-1.3512022374259225</v>
      </c>
      <c r="BC693" s="7">
        <f t="shared" si="134"/>
        <v>10.477954225482286</v>
      </c>
      <c r="BF693" s="7">
        <f t="shared" si="135"/>
        <v>-0.75170602366852879</v>
      </c>
      <c r="BG693" s="7">
        <f t="shared" si="136"/>
        <v>47.700206785295947</v>
      </c>
      <c r="BI693" s="10">
        <f t="shared" si="137"/>
        <v>3.5873575430273013</v>
      </c>
      <c r="BJ693">
        <f t="shared" si="138"/>
        <v>88.999128259631689</v>
      </c>
    </row>
    <row r="694" spans="42:62" x14ac:dyDescent="0.25">
      <c r="AP694" s="1">
        <v>689</v>
      </c>
      <c r="AQ694" s="7">
        <f t="shared" si="127"/>
        <v>-2857.0672583983965</v>
      </c>
      <c r="AR694" s="7">
        <f t="shared" si="128"/>
        <v>-120859.3536906924</v>
      </c>
      <c r="AS694" s="7"/>
      <c r="AT694" s="7">
        <f t="shared" si="129"/>
        <v>1007.9168359231951</v>
      </c>
      <c r="AU694" s="7">
        <f t="shared" si="130"/>
        <v>-3634.2593376785817</v>
      </c>
      <c r="AV694" s="7"/>
      <c r="AX694" s="7">
        <f t="shared" si="131"/>
        <v>5.3527809697745168</v>
      </c>
      <c r="AY694" s="7">
        <f t="shared" si="132"/>
        <v>30.059827796833396</v>
      </c>
      <c r="BB694" s="7">
        <f t="shared" si="133"/>
        <v>-1.3336703508960925</v>
      </c>
      <c r="BC694" s="7">
        <f t="shared" si="134"/>
        <v>10.180477447197671</v>
      </c>
      <c r="BF694" s="7">
        <f t="shared" si="135"/>
        <v>-0.93275475208056102</v>
      </c>
      <c r="BG694" s="7">
        <f t="shared" si="136"/>
        <v>46.077421512246083</v>
      </c>
      <c r="BI694" s="10">
        <f t="shared" si="137"/>
        <v>3.086355866797863</v>
      </c>
      <c r="BJ694">
        <f t="shared" si="138"/>
        <v>86.317726756277153</v>
      </c>
    </row>
    <row r="695" spans="42:62" x14ac:dyDescent="0.25">
      <c r="AP695" s="1">
        <v>690</v>
      </c>
      <c r="AQ695" s="7">
        <f t="shared" si="127"/>
        <v>-2352.7230459534489</v>
      </c>
      <c r="AR695" s="7">
        <f t="shared" si="128"/>
        <v>-122665.69364368715</v>
      </c>
      <c r="AS695" s="7"/>
      <c r="AT695" s="7">
        <f t="shared" si="129"/>
        <v>1009.4600138565941</v>
      </c>
      <c r="AU695" s="7">
        <f t="shared" si="130"/>
        <v>-3591.1004743004432</v>
      </c>
      <c r="AV695" s="7"/>
      <c r="AX695" s="7">
        <f t="shared" si="131"/>
        <v>5.0371220341722189</v>
      </c>
      <c r="AY695" s="7">
        <f t="shared" si="132"/>
        <v>29.332465767056629</v>
      </c>
      <c r="BB695" s="7">
        <f t="shared" si="133"/>
        <v>-1.3167057244126834</v>
      </c>
      <c r="BC695" s="7">
        <f t="shared" si="134"/>
        <v>9.8985060816290638</v>
      </c>
      <c r="BF695" s="7">
        <f t="shared" si="135"/>
        <v>-1.095418118638751</v>
      </c>
      <c r="BG695" s="7">
        <f t="shared" si="136"/>
        <v>44.551043816109171</v>
      </c>
      <c r="BI695" s="10">
        <f t="shared" si="137"/>
        <v>2.6249981911207847</v>
      </c>
      <c r="BJ695">
        <f t="shared" si="138"/>
        <v>83.782015664794869</v>
      </c>
    </row>
    <row r="696" spans="42:62" x14ac:dyDescent="0.25">
      <c r="AP696" s="1">
        <v>691</v>
      </c>
      <c r="AQ696" s="7">
        <f t="shared" si="127"/>
        <v>-1847.664914251262</v>
      </c>
      <c r="AR696" s="7">
        <f t="shared" si="128"/>
        <v>-124450.77112887926</v>
      </c>
      <c r="AS696" s="7"/>
      <c r="AT696" s="7">
        <f t="shared" si="129"/>
        <v>1010.7725129521544</v>
      </c>
      <c r="AU696" s="7">
        <f t="shared" si="130"/>
        <v>-3549.2094664680458</v>
      </c>
      <c r="AV696" s="7"/>
      <c r="AX696" s="7">
        <f t="shared" si="131"/>
        <v>4.7415191325344539</v>
      </c>
      <c r="AY696" s="7">
        <f t="shared" si="132"/>
        <v>28.636795205154648</v>
      </c>
      <c r="BB696" s="7">
        <f t="shared" si="133"/>
        <v>-1.3002771006100111</v>
      </c>
      <c r="BC696" s="7">
        <f t="shared" si="134"/>
        <v>9.6308964126324312</v>
      </c>
      <c r="BF696" s="7">
        <f t="shared" si="135"/>
        <v>-1.2417192623502571</v>
      </c>
      <c r="BG696" s="7">
        <f t="shared" si="136"/>
        <v>43.113161225859436</v>
      </c>
      <c r="BI696" s="10">
        <f t="shared" si="137"/>
        <v>2.1995227695741857</v>
      </c>
      <c r="BJ696">
        <f t="shared" si="138"/>
        <v>81.380852843646522</v>
      </c>
    </row>
    <row r="697" spans="42:62" x14ac:dyDescent="0.25">
      <c r="AP697" s="1">
        <v>692</v>
      </c>
      <c r="AQ697" s="7">
        <f t="shared" si="127"/>
        <v>-1342.003717428988</v>
      </c>
      <c r="AR697" s="7">
        <f t="shared" si="128"/>
        <v>-126215.20325550783</v>
      </c>
      <c r="AS697" s="7"/>
      <c r="AT697" s="7">
        <f t="shared" si="129"/>
        <v>1011.8722743369416</v>
      </c>
      <c r="AU697" s="7">
        <f t="shared" si="130"/>
        <v>-3508.5190400462225</v>
      </c>
      <c r="AV697" s="7"/>
      <c r="AX697" s="7">
        <f t="shared" si="131"/>
        <v>4.4643757064624188</v>
      </c>
      <c r="AY697" s="7">
        <f t="shared" si="132"/>
        <v>27.970893122423618</v>
      </c>
      <c r="BB697" s="7">
        <f t="shared" si="133"/>
        <v>-1.284355949259568</v>
      </c>
      <c r="BC697" s="7">
        <f t="shared" si="134"/>
        <v>9.3766127954606571</v>
      </c>
      <c r="BF697" s="7">
        <f t="shared" si="135"/>
        <v>-1.3734253304030304</v>
      </c>
      <c r="BG697" s="7">
        <f t="shared" si="136"/>
        <v>41.75667919751934</v>
      </c>
      <c r="BI697" s="10">
        <f t="shared" si="137"/>
        <v>1.8065944267998204</v>
      </c>
      <c r="BJ697">
        <f t="shared" si="138"/>
        <v>79.104185115403624</v>
      </c>
    </row>
    <row r="698" spans="42:62" x14ac:dyDescent="0.25">
      <c r="AP698" s="1">
        <v>693</v>
      </c>
      <c r="AQ698" s="7">
        <f t="shared" si="127"/>
        <v>-835.84175595716715</v>
      </c>
      <c r="AR698" s="7">
        <f t="shared" si="128"/>
        <v>-127959.57475239152</v>
      </c>
      <c r="AS698" s="7"/>
      <c r="AT698" s="7">
        <f t="shared" si="129"/>
        <v>1012.7755715503415</v>
      </c>
      <c r="AU698" s="7">
        <f t="shared" si="130"/>
        <v>-3468.9669474885209</v>
      </c>
      <c r="AV698" s="7"/>
      <c r="AX698" s="7">
        <f t="shared" si="131"/>
        <v>4.2042486531477365</v>
      </c>
      <c r="AY698" s="7">
        <f t="shared" si="132"/>
        <v>27.332984257565695</v>
      </c>
      <c r="BB698" s="7">
        <f t="shared" si="133"/>
        <v>-1.268916128887573</v>
      </c>
      <c r="BC698" s="7">
        <f t="shared" si="134"/>
        <v>9.1347153007462474</v>
      </c>
      <c r="BF698" s="7">
        <f t="shared" si="135"/>
        <v>-1.4920844194117091</v>
      </c>
      <c r="BG698" s="7">
        <f t="shared" si="136"/>
        <v>40.475220112620192</v>
      </c>
      <c r="BI698" s="10">
        <f t="shared" si="137"/>
        <v>1.4432481048484544</v>
      </c>
      <c r="BJ698">
        <f t="shared" si="138"/>
        <v>76.942919670932142</v>
      </c>
    </row>
    <row r="699" spans="42:62" x14ac:dyDescent="0.25">
      <c r="AP699" s="1">
        <v>694</v>
      </c>
      <c r="AQ699" s="7">
        <f t="shared" si="127"/>
        <v>-329.27356416889035</v>
      </c>
      <c r="AR699" s="7">
        <f t="shared" si="128"/>
        <v>-129684.44036117691</v>
      </c>
      <c r="AS699" s="7"/>
      <c r="AT699" s="7">
        <f t="shared" si="129"/>
        <v>1013.4971956027657</v>
      </c>
      <c r="AU699" s="7">
        <f t="shared" si="130"/>
        <v>-3430.4954876530546</v>
      </c>
      <c r="AV699" s="7"/>
      <c r="AX699" s="7">
        <f t="shared" si="131"/>
        <v>3.9598310704750053</v>
      </c>
      <c r="AY699" s="7">
        <f t="shared" si="132"/>
        <v>26.721427483044558</v>
      </c>
      <c r="BB699" s="7">
        <f t="shared" si="133"/>
        <v>-1.2539336015864431</v>
      </c>
      <c r="BC699" s="7">
        <f t="shared" si="134"/>
        <v>8.9043490060755737</v>
      </c>
      <c r="BF699" s="7">
        <f t="shared" si="135"/>
        <v>-1.5990565308392919</v>
      </c>
      <c r="BG699" s="7">
        <f t="shared" si="136"/>
        <v>39.263036674199341</v>
      </c>
      <c r="BI699" s="10">
        <f t="shared" si="137"/>
        <v>1.1068409380492703</v>
      </c>
      <c r="BJ699">
        <f t="shared" si="138"/>
        <v>74.888813163319469</v>
      </c>
    </row>
    <row r="700" spans="42:62" x14ac:dyDescent="0.25">
      <c r="AP700" s="1">
        <v>695</v>
      </c>
      <c r="AQ700" s="7">
        <f t="shared" si="127"/>
        <v>177.61338874974868</v>
      </c>
      <c r="AR700" s="7">
        <f t="shared" si="128"/>
        <v>-131390.32700335802</v>
      </c>
      <c r="AS700" s="7"/>
      <c r="AT700" s="7">
        <f t="shared" si="129"/>
        <v>1014.0506160717904</v>
      </c>
      <c r="AU700" s="7">
        <f t="shared" si="130"/>
        <v>-3393.0510810713949</v>
      </c>
      <c r="AV700" s="7"/>
      <c r="AX700" s="7">
        <f t="shared" si="131"/>
        <v>3.7299372175589443</v>
      </c>
      <c r="AY700" s="7">
        <f t="shared" si="132"/>
        <v>26.13470365645755</v>
      </c>
      <c r="BB700" s="7">
        <f t="shared" si="133"/>
        <v>-1.2393861912648219</v>
      </c>
      <c r="BC700" s="7">
        <f t="shared" si="134"/>
        <v>8.6847346854254344</v>
      </c>
      <c r="BF700" s="7">
        <f t="shared" si="135"/>
        <v>-1.6955396140605465</v>
      </c>
      <c r="BG700" s="7">
        <f t="shared" si="136"/>
        <v>38.114937387263616</v>
      </c>
      <c r="BI700" s="10">
        <f t="shared" si="137"/>
        <v>0.79501141223357585</v>
      </c>
      <c r="BJ700">
        <f t="shared" si="138"/>
        <v>72.934375729146595</v>
      </c>
    </row>
    <row r="701" spans="42:62" x14ac:dyDescent="0.25">
      <c r="AP701" s="1">
        <v>696</v>
      </c>
      <c r="AQ701" s="7">
        <f t="shared" si="127"/>
        <v>684.73807321217305</v>
      </c>
      <c r="AR701" s="7">
        <f t="shared" si="128"/>
        <v>-133077.73574692756</v>
      </c>
      <c r="AS701" s="7"/>
      <c r="AT701" s="7">
        <f t="shared" si="129"/>
        <v>1014.4481217779072</v>
      </c>
      <c r="AU701" s="7">
        <f t="shared" si="130"/>
        <v>-3356.5838932068218</v>
      </c>
      <c r="AV701" s="7"/>
      <c r="AX701" s="7">
        <f t="shared" si="131"/>
        <v>3.5134893718567914</v>
      </c>
      <c r="AY701" s="7">
        <f t="shared" si="132"/>
        <v>25.571404744013343</v>
      </c>
      <c r="BB701" s="7">
        <f t="shared" si="133"/>
        <v>-1.2252533775727339</v>
      </c>
      <c r="BC701" s="7">
        <f t="shared" si="134"/>
        <v>8.4751606889532347</v>
      </c>
      <c r="BF701" s="7">
        <f t="shared" si="135"/>
        <v>-1.7825915600589211</v>
      </c>
      <c r="BG701" s="7">
        <f t="shared" si="136"/>
        <v>37.026222222127117</v>
      </c>
      <c r="BI701" s="10">
        <f t="shared" si="137"/>
        <v>0.5056444342251365</v>
      </c>
      <c r="BJ701">
        <f t="shared" si="138"/>
        <v>71.072787655093691</v>
      </c>
    </row>
    <row r="702" spans="42:62" x14ac:dyDescent="0.25">
      <c r="AP702" s="1">
        <v>697</v>
      </c>
      <c r="AQ702" s="7">
        <f t="shared" si="127"/>
        <v>1192.0253396554047</v>
      </c>
      <c r="AR702" s="7">
        <f t="shared" si="128"/>
        <v>-134747.1435950741</v>
      </c>
      <c r="AS702" s="7"/>
      <c r="AT702" s="7">
        <f t="shared" si="129"/>
        <v>1014.7009439950198</v>
      </c>
      <c r="AU702" s="7">
        <f t="shared" si="130"/>
        <v>-3321.047499379275</v>
      </c>
      <c r="AV702" s="7"/>
      <c r="AX702" s="7">
        <f t="shared" si="131"/>
        <v>3.3095063147068116</v>
      </c>
      <c r="AY702" s="7">
        <f t="shared" si="132"/>
        <v>25.030224066044067</v>
      </c>
      <c r="BB702" s="7">
        <f t="shared" si="133"/>
        <v>-1.2115161192883155</v>
      </c>
      <c r="BC702" s="7">
        <f t="shared" si="134"/>
        <v>8.2749758400026643</v>
      </c>
      <c r="BF702" s="7">
        <f t="shared" si="135"/>
        <v>-1.861148842937044</v>
      </c>
      <c r="BG702" s="7">
        <f t="shared" si="136"/>
        <v>35.992626890540329</v>
      </c>
      <c r="BI702" s="10">
        <f t="shared" si="137"/>
        <v>0.23684135248145211</v>
      </c>
      <c r="BJ702">
        <f t="shared" si="138"/>
        <v>69.29782679658706</v>
      </c>
    </row>
    <row r="703" spans="42:62" x14ac:dyDescent="0.25">
      <c r="AP703" s="1">
        <v>698</v>
      </c>
      <c r="AQ703" s="7">
        <f t="shared" si="127"/>
        <v>1699.4054168219748</v>
      </c>
      <c r="AR703" s="7">
        <f t="shared" si="128"/>
        <v>-136399.00511641416</v>
      </c>
      <c r="AS703" s="7"/>
      <c r="AT703" s="7">
        <f t="shared" si="129"/>
        <v>1014.8193646712605</v>
      </c>
      <c r="AU703" s="7">
        <f t="shared" si="130"/>
        <v>-3286.3985859809814</v>
      </c>
      <c r="AV703" s="7"/>
      <c r="AX703" s="7">
        <f t="shared" si="131"/>
        <v>3.1170932190427045</v>
      </c>
      <c r="AY703" s="7">
        <f t="shared" si="132"/>
        <v>24.509947534036503</v>
      </c>
      <c r="BB703" s="7">
        <f t="shared" si="133"/>
        <v>-1.1981567021666653</v>
      </c>
      <c r="BC703" s="7">
        <f t="shared" si="134"/>
        <v>8.0835832043020748</v>
      </c>
      <c r="BF703" s="7">
        <f t="shared" si="135"/>
        <v>-1.9320423751019327</v>
      </c>
      <c r="BG703" s="7">
        <f t="shared" si="136"/>
        <v>35.010274432890199</v>
      </c>
      <c r="BI703" s="10">
        <f t="shared" si="137"/>
        <v>-1.3105858225893385E-2</v>
      </c>
      <c r="BJ703">
        <f t="shared" si="138"/>
        <v>67.603805171228771</v>
      </c>
    </row>
    <row r="704" spans="42:62" x14ac:dyDescent="0.25">
      <c r="AP704" s="1">
        <v>699</v>
      </c>
      <c r="AQ704" s="7">
        <f t="shared" si="127"/>
        <v>2206.8134609253266</v>
      </c>
      <c r="AR704" s="7">
        <f t="shared" si="128"/>
        <v>-138033.75393375824</v>
      </c>
      <c r="AS704" s="7"/>
      <c r="AT704" s="7">
        <f t="shared" si="129"/>
        <v>1014.8128117421476</v>
      </c>
      <c r="AU704" s="7">
        <f t="shared" si="130"/>
        <v>-3252.5966833953671</v>
      </c>
      <c r="AV704" s="7"/>
      <c r="AX704" s="7">
        <f t="shared" si="131"/>
        <v>2.9354327477790649</v>
      </c>
      <c r="AY704" s="7">
        <f t="shared" si="132"/>
        <v>24.009445765445836</v>
      </c>
      <c r="BB704" s="7">
        <f t="shared" si="133"/>
        <v>-1.18515860720586</v>
      </c>
      <c r="BC704" s="7">
        <f t="shared" si="134"/>
        <v>7.9004346094181788</v>
      </c>
      <c r="BF704" s="7">
        <f t="shared" si="135"/>
        <v>-1.9960110374557307</v>
      </c>
      <c r="BG704" s="7">
        <f t="shared" si="136"/>
        <v>34.075633032946961</v>
      </c>
      <c r="BI704" s="10">
        <f t="shared" si="137"/>
        <v>-0.24573689688252554</v>
      </c>
      <c r="BJ704">
        <f t="shared" si="138"/>
        <v>65.98551340781097</v>
      </c>
    </row>
    <row r="705" spans="42:62" x14ac:dyDescent="0.25">
      <c r="AP705" s="1">
        <v>700</v>
      </c>
      <c r="AQ705" s="7">
        <f t="shared" si="127"/>
        <v>2714.18914968429</v>
      </c>
      <c r="AR705" s="7">
        <f t="shared" si="128"/>
        <v>-139651.80408627997</v>
      </c>
      <c r="AS705" s="7"/>
      <c r="AT705" s="7">
        <f t="shared" si="129"/>
        <v>1014.6899432937063</v>
      </c>
      <c r="AU705" s="7">
        <f t="shared" si="130"/>
        <v>-3219.6039266914618</v>
      </c>
      <c r="AV705" s="7"/>
      <c r="AX705" s="7">
        <f t="shared" si="131"/>
        <v>2.7637772002796708</v>
      </c>
      <c r="AY705" s="7">
        <f t="shared" si="132"/>
        <v>23.52766697700233</v>
      </c>
      <c r="BB705" s="7">
        <f t="shared" si="133"/>
        <v>-1.1725063960414979</v>
      </c>
      <c r="BC705" s="7">
        <f t="shared" si="134"/>
        <v>7.7250258115751969</v>
      </c>
      <c r="BF705" s="7">
        <f t="shared" si="135"/>
        <v>-2.0537132623126477</v>
      </c>
      <c r="BG705" s="7">
        <f t="shared" si="136"/>
        <v>33.185479154820577</v>
      </c>
      <c r="BI705" s="10">
        <f t="shared" si="137"/>
        <v>-0.46244245807447504</v>
      </c>
      <c r="BJ705">
        <f t="shared" si="138"/>
        <v>64.438171943398103</v>
      </c>
    </row>
    <row r="706" spans="42:62" x14ac:dyDescent="0.25">
      <c r="AP706" s="1">
        <v>701</v>
      </c>
      <c r="AQ706" s="7">
        <f t="shared" si="127"/>
        <v>3221.4763160238836</v>
      </c>
      <c r="AR706" s="7">
        <f t="shared" si="128"/>
        <v>-141253.55127813277</v>
      </c>
      <c r="AS706" s="7"/>
      <c r="AT706" s="7">
        <f t="shared" si="129"/>
        <v>1014.458722064669</v>
      </c>
      <c r="AU706" s="7">
        <f t="shared" si="130"/>
        <v>-3187.3848407197629</v>
      </c>
      <c r="AV706" s="7"/>
      <c r="AX706" s="7">
        <f t="shared" si="131"/>
        <v>2.601441568463041</v>
      </c>
      <c r="AY706" s="7">
        <f t="shared" si="132"/>
        <v>23.063630569655068</v>
      </c>
      <c r="BB706" s="7">
        <f t="shared" si="133"/>
        <v>-1.1601856107817776</v>
      </c>
      <c r="BC706" s="7">
        <f t="shared" si="134"/>
        <v>7.556892222715514</v>
      </c>
      <c r="BF706" s="7">
        <f t="shared" si="135"/>
        <v>-2.1057369795745164</v>
      </c>
      <c r="BG706" s="7">
        <f t="shared" si="136"/>
        <v>32.336865242901624</v>
      </c>
      <c r="BI706" s="10">
        <f t="shared" si="137"/>
        <v>-0.66448102189325331</v>
      </c>
      <c r="BJ706">
        <f t="shared" si="138"/>
        <v>62.957388035272203</v>
      </c>
    </row>
    <row r="707" spans="42:62" x14ac:dyDescent="0.25">
      <c r="AP707" s="1">
        <v>702</v>
      </c>
      <c r="AQ707" s="7">
        <f t="shared" si="127"/>
        <v>3728.6226169284814</v>
      </c>
      <c r="AR707" s="7">
        <f t="shared" si="128"/>
        <v>-142839.37402498824</v>
      </c>
      <c r="AS707" s="7"/>
      <c r="AT707" s="7">
        <f t="shared" si="129"/>
        <v>1014.1264815537224</v>
      </c>
      <c r="AU707" s="7">
        <f t="shared" si="130"/>
        <v>-3155.906146702127</v>
      </c>
      <c r="AV707" s="7"/>
      <c r="AX707" s="7">
        <f t="shared" si="131"/>
        <v>2.4477973843244145</v>
      </c>
      <c r="AY707" s="7">
        <f t="shared" si="132"/>
        <v>22.616421329038669</v>
      </c>
      <c r="BB707" s="7">
        <f t="shared" si="133"/>
        <v>-1.1481826860761517</v>
      </c>
      <c r="BC707" s="7">
        <f t="shared" si="134"/>
        <v>7.3956051237888643</v>
      </c>
      <c r="BF707" s="7">
        <f t="shared" si="135"/>
        <v>-2.1526081824649541</v>
      </c>
      <c r="BG707" s="7">
        <f t="shared" si="136"/>
        <v>31.527091345853535</v>
      </c>
      <c r="BI707" s="10">
        <f t="shared" si="137"/>
        <v>-0.8529934842166913</v>
      </c>
      <c r="BJ707">
        <f t="shared" si="138"/>
        <v>61.539117798681062</v>
      </c>
    </row>
    <row r="708" spans="42:62" x14ac:dyDescent="0.25">
      <c r="AP708" s="1">
        <v>703</v>
      </c>
      <c r="AQ708" s="7">
        <f t="shared" si="127"/>
        <v>4235.5792335198157</v>
      </c>
      <c r="AR708" s="7">
        <f t="shared" si="128"/>
        <v>-144409.63470861447</v>
      </c>
      <c r="AS708" s="7"/>
      <c r="AT708" s="7">
        <f t="shared" si="129"/>
        <v>1013.6999848116141</v>
      </c>
      <c r="AU708" s="7">
        <f t="shared" si="130"/>
        <v>-3125.1365878027864</v>
      </c>
      <c r="AV708" s="7"/>
      <c r="AX708" s="7">
        <f t="shared" si="131"/>
        <v>2.3022672576480931</v>
      </c>
      <c r="AY708" s="7">
        <f t="shared" si="132"/>
        <v>22.185184174642728</v>
      </c>
      <c r="BB708" s="7">
        <f t="shared" si="133"/>
        <v>-1.1364848715958453</v>
      </c>
      <c r="BC708" s="7">
        <f t="shared" si="134"/>
        <v>7.2407683011872015</v>
      </c>
      <c r="BF708" s="7">
        <f t="shared" si="135"/>
        <v>-2.194798325159792</v>
      </c>
      <c r="BG708" s="7">
        <f t="shared" si="136"/>
        <v>30.753680125134956</v>
      </c>
      <c r="BI708" s="10">
        <f t="shared" si="137"/>
        <v>-1.0290159391075444</v>
      </c>
      <c r="BJ708">
        <f t="shared" si="138"/>
        <v>60.179632600964887</v>
      </c>
    </row>
    <row r="709" spans="42:62" x14ac:dyDescent="0.25">
      <c r="AP709" s="1">
        <v>704</v>
      </c>
      <c r="AQ709" s="7">
        <f t="shared" si="127"/>
        <v>4742.3005989332341</v>
      </c>
      <c r="AR709" s="7">
        <f t="shared" si="128"/>
        <v>-145964.68054844075</v>
      </c>
      <c r="AS709" s="7"/>
      <c r="AT709" s="7">
        <f t="shared" si="129"/>
        <v>1013.1854768420603</v>
      </c>
      <c r="AU709" s="7">
        <f t="shared" si="130"/>
        <v>-3095.0467715023037</v>
      </c>
      <c r="AV709" s="7"/>
      <c r="AX709" s="7">
        <f t="shared" si="131"/>
        <v>2.1643200170065118</v>
      </c>
      <c r="AY709" s="7">
        <f t="shared" si="132"/>
        <v>21.769119398910011</v>
      </c>
      <c r="BB709" s="7">
        <f t="shared" si="133"/>
        <v>-1.1250801634168004</v>
      </c>
      <c r="BC709" s="7">
        <f t="shared" si="134"/>
        <v>7.0920150524019707</v>
      </c>
      <c r="BF709" s="7">
        <f t="shared" si="135"/>
        <v>-2.2327307288676561</v>
      </c>
      <c r="BG709" s="7">
        <f t="shared" si="136"/>
        <v>30.0143547909883</v>
      </c>
      <c r="BI709" s="10">
        <f t="shared" si="137"/>
        <v>-1.193490875277945</v>
      </c>
      <c r="BJ709">
        <f t="shared" si="138"/>
        <v>58.875489242300276</v>
      </c>
    </row>
    <row r="710" spans="42:62" x14ac:dyDescent="0.25">
      <c r="AP710" s="1">
        <v>705</v>
      </c>
      <c r="AQ710" s="7">
        <f t="shared" ref="AQ710:AQ773" si="139">AQ709+(AT709*$R$7)+((1/2)*(BI709)*$R$7^2)</f>
        <v>5248.744150994854</v>
      </c>
      <c r="AR710" s="7">
        <f t="shared" ref="AR710:AR773" si="140">AR709+(AU709*$R$7)+((1/2)*(BJ709)*$R$7^2)</f>
        <v>-147504.8444980366</v>
      </c>
      <c r="AS710" s="7"/>
      <c r="AT710" s="7">
        <f t="shared" ref="AT710:AT773" si="141">AT709+(BI709)*$R$7</f>
        <v>1012.5887314044213</v>
      </c>
      <c r="AU710" s="7">
        <f t="shared" ref="AU710:AU773" si="142">AU709+(BJ709)*$R$7</f>
        <v>-3065.6090268811536</v>
      </c>
      <c r="AV710" s="7"/>
      <c r="AX710" s="7">
        <f t="shared" ref="AX710:AX773" si="143">(($R$23-AQ710)/(($R$23-AQ710)^2+($S$23-AR710)^2+$R$28^2)^(3/2))*$R$27</f>
        <v>2.033466379249941</v>
      </c>
      <c r="AY710" s="7">
        <f t="shared" ref="AY710:AY773" si="144">(($S$23-AR710)/(($R$23-AQ710)^2+($S$23-AR710)^2+$R$28^2)^(3/2))*$R$27</f>
        <v>21.367478344488219</v>
      </c>
      <c r="BB710" s="7">
        <f t="shared" ref="BB710:BB773" si="145">(($R$32-AQ710)/(($R$32-AQ710)^2+($S$32-AR710)^2+$R$37^2)^(3/2))*$R$36</f>
        <v>-1.113957243047526</v>
      </c>
      <c r="BC710" s="7">
        <f t="shared" ref="BC710:BC773" si="146">(($S$32-AR710)/(($R$32-AQ710)^2+($S$32-AR710)^2+$R$37^2)^(3/2))*$R$36</f>
        <v>6.9490055146663154</v>
      </c>
      <c r="BF710" s="7">
        <f t="shared" ref="BF710:BF773" si="147">(($R$41-AQ710)/(($R$41-AQ710)^2+($S$41-AR710)^2+$R$46^2)^(3/2))*$R$45</f>
        <v>-2.2667861436734063</v>
      </c>
      <c r="BG710" s="7">
        <f t="shared" ref="BG710:BG773" si="148">(($S$41-AR710)/(($R$41-AQ710)^2+($S$41-AR710)^2+$R$46^2)^(3/2))*$R$45</f>
        <v>29.307019577475984</v>
      </c>
      <c r="BI710" s="10">
        <f t="shared" ref="BI710:BI773" si="149">BF710+BB710+AX710</f>
        <v>-1.3472770074709914</v>
      </c>
      <c r="BJ710">
        <f t="shared" ref="BJ710:BJ773" si="150">BG710+BC710+AY710</f>
        <v>57.623503436630521</v>
      </c>
    </row>
    <row r="711" spans="42:62" x14ac:dyDescent="0.25">
      <c r="AP711" s="1">
        <v>706</v>
      </c>
      <c r="AQ711" s="7">
        <f t="shared" si="139"/>
        <v>5754.8701070711304</v>
      </c>
      <c r="AR711" s="7">
        <f t="shared" si="140"/>
        <v>-149030.44607354762</v>
      </c>
      <c r="AS711" s="7"/>
      <c r="AT711" s="7">
        <f t="shared" si="141"/>
        <v>1011.9150929006859</v>
      </c>
      <c r="AU711" s="7">
        <f t="shared" si="142"/>
        <v>-3036.7972751628381</v>
      </c>
      <c r="AV711" s="7"/>
      <c r="AX711" s="7">
        <f t="shared" si="143"/>
        <v>1.909255082951669</v>
      </c>
      <c r="AY711" s="7">
        <f t="shared" si="144"/>
        <v>20.979559473933762</v>
      </c>
      <c r="BB711" s="7">
        <f t="shared" si="145"/>
        <v>-1.1031054230502315</v>
      </c>
      <c r="BC711" s="7">
        <f t="shared" si="146"/>
        <v>6.8114242768269015</v>
      </c>
      <c r="BF711" s="7">
        <f t="shared" si="147"/>
        <v>-2.2973075894707304</v>
      </c>
      <c r="BG711" s="7">
        <f t="shared" si="148"/>
        <v>28.629742425476973</v>
      </c>
      <c r="BI711" s="10">
        <f t="shared" si="149"/>
        <v>-1.4911579295692929</v>
      </c>
      <c r="BJ711">
        <f t="shared" si="150"/>
        <v>56.420726176237636</v>
      </c>
    </row>
    <row r="712" spans="42:62" x14ac:dyDescent="0.25">
      <c r="AP712" s="1">
        <v>707</v>
      </c>
      <c r="AQ712" s="7">
        <f t="shared" si="139"/>
        <v>6260.6412587802779</v>
      </c>
      <c r="AR712" s="7">
        <f t="shared" si="140"/>
        <v>-150541.79212035699</v>
      </c>
      <c r="AS712" s="7"/>
      <c r="AT712" s="7">
        <f t="shared" si="141"/>
        <v>1011.1695139359013</v>
      </c>
      <c r="AU712" s="7">
        <f t="shared" si="142"/>
        <v>-3008.5869120747193</v>
      </c>
      <c r="AV712" s="7"/>
      <c r="AX712" s="7">
        <f t="shared" si="143"/>
        <v>1.791269429995866</v>
      </c>
      <c r="AY712" s="7">
        <f t="shared" si="144"/>
        <v>20.604704791471583</v>
      </c>
      <c r="BB712" s="7">
        <f t="shared" si="145"/>
        <v>-1.0925145983719902</v>
      </c>
      <c r="BC712" s="7">
        <f t="shared" si="146"/>
        <v>6.6789782401695179</v>
      </c>
      <c r="BF712" s="7">
        <f t="shared" si="147"/>
        <v>-2.324604579563248</v>
      </c>
      <c r="BG712" s="7">
        <f t="shared" si="148"/>
        <v>27.98073959060839</v>
      </c>
      <c r="BI712" s="10">
        <f t="shared" si="149"/>
        <v>-1.6258497479393721</v>
      </c>
      <c r="BJ712">
        <f t="shared" si="150"/>
        <v>55.264422622249491</v>
      </c>
    </row>
    <row r="713" spans="42:62" x14ac:dyDescent="0.25">
      <c r="AP713" s="1">
        <v>708</v>
      </c>
      <c r="AQ713" s="7">
        <f t="shared" si="139"/>
        <v>6766.0227845297359</v>
      </c>
      <c r="AR713" s="7">
        <f t="shared" si="140"/>
        <v>-152039.17752356656</v>
      </c>
      <c r="AS713" s="7"/>
      <c r="AT713" s="7">
        <f t="shared" si="141"/>
        <v>1010.3565890619316</v>
      </c>
      <c r="AU713" s="7">
        <f t="shared" si="142"/>
        <v>-2980.9547007635947</v>
      </c>
      <c r="AV713" s="7"/>
      <c r="AX713" s="7">
        <f t="shared" si="143"/>
        <v>1.6791241869269398</v>
      </c>
      <c r="AY713" s="7">
        <f t="shared" si="144"/>
        <v>20.242296581038214</v>
      </c>
      <c r="BB713" s="7">
        <f t="shared" si="145"/>
        <v>-1.0821752026405413</v>
      </c>
      <c r="BC713" s="7">
        <f t="shared" si="146"/>
        <v>6.551394698566277</v>
      </c>
      <c r="BF713" s="7">
        <f t="shared" si="147"/>
        <v>-2.3489568141983508</v>
      </c>
      <c r="BG713" s="7">
        <f t="shared" si="148"/>
        <v>27.358361933427517</v>
      </c>
      <c r="BI713" s="10">
        <f t="shared" si="149"/>
        <v>-1.7520078299119521</v>
      </c>
      <c r="BJ713">
        <f t="shared" si="150"/>
        <v>54.152053213032005</v>
      </c>
    </row>
    <row r="714" spans="42:62" x14ac:dyDescent="0.25">
      <c r="AP714" s="1">
        <v>709</v>
      </c>
      <c r="AQ714" s="7">
        <f t="shared" si="139"/>
        <v>7270.9820780819628</v>
      </c>
      <c r="AR714" s="7">
        <f t="shared" si="140"/>
        <v>-153522.88586729672</v>
      </c>
      <c r="AS714" s="7"/>
      <c r="AT714" s="7">
        <f t="shared" si="141"/>
        <v>1009.4805851469756</v>
      </c>
      <c r="AU714" s="7">
        <f t="shared" si="142"/>
        <v>-2953.8786741570789</v>
      </c>
      <c r="AV714" s="7"/>
      <c r="AX714" s="7">
        <f t="shared" si="143"/>
        <v>1.5724628040284072</v>
      </c>
      <c r="AY714" s="7">
        <f t="shared" si="144"/>
        <v>19.891754428882322</v>
      </c>
      <c r="BB714" s="7">
        <f t="shared" si="145"/>
        <v>-1.0720781687936123</v>
      </c>
      <c r="BC714" s="7">
        <f t="shared" si="146"/>
        <v>6.4284196122645936</v>
      </c>
      <c r="BF714" s="7">
        <f t="shared" si="147"/>
        <v>-2.3706174177738659</v>
      </c>
      <c r="BG714" s="7">
        <f t="shared" si="148"/>
        <v>26.761082683338387</v>
      </c>
      <c r="BI714" s="10">
        <f t="shared" si="149"/>
        <v>-1.870232782539071</v>
      </c>
      <c r="BJ714">
        <f t="shared" si="150"/>
        <v>53.0812567244853</v>
      </c>
    </row>
    <row r="715" spans="42:62" x14ac:dyDescent="0.25">
      <c r="AP715" s="1">
        <v>710</v>
      </c>
      <c r="AQ715" s="7">
        <f t="shared" si="139"/>
        <v>7775.4885915576333</v>
      </c>
      <c r="AR715" s="7">
        <f t="shared" si="140"/>
        <v>-154993.1900472847</v>
      </c>
      <c r="AS715" s="7"/>
      <c r="AT715" s="7">
        <f t="shared" si="141"/>
        <v>1008.5454687557061</v>
      </c>
      <c r="AU715" s="7">
        <f t="shared" si="142"/>
        <v>-2927.338045794836</v>
      </c>
      <c r="AV715" s="7"/>
      <c r="AX715" s="7">
        <f t="shared" si="143"/>
        <v>1.4709549155362702</v>
      </c>
      <c r="AY715" s="7">
        <f t="shared" si="144"/>
        <v>19.552532502538558</v>
      </c>
      <c r="BB715" s="7">
        <f t="shared" si="145"/>
        <v>-1.0622148935049252</v>
      </c>
      <c r="BC715" s="7">
        <f t="shared" si="146"/>
        <v>6.3098160530066849</v>
      </c>
      <c r="BF715" s="7">
        <f t="shared" si="147"/>
        <v>-2.3898157822088839</v>
      </c>
      <c r="BG715" s="7">
        <f t="shared" si="148"/>
        <v>26.187486496434509</v>
      </c>
      <c r="BI715" s="10">
        <f t="shared" si="149"/>
        <v>-1.9810757601775388</v>
      </c>
      <c r="BJ715">
        <f t="shared" si="150"/>
        <v>52.049835051979755</v>
      </c>
    </row>
    <row r="716" spans="42:62" x14ac:dyDescent="0.25">
      <c r="AP716" s="1">
        <v>711</v>
      </c>
      <c r="AQ716" s="7">
        <f t="shared" si="139"/>
        <v>8279.5136914654631</v>
      </c>
      <c r="AR716" s="7">
        <f t="shared" si="140"/>
        <v>-156450.35284080062</v>
      </c>
      <c r="AS716" s="7"/>
      <c r="AT716" s="7">
        <f t="shared" si="141"/>
        <v>1007.5549308756173</v>
      </c>
      <c r="AU716" s="7">
        <f t="shared" si="142"/>
        <v>-2901.313128268846</v>
      </c>
      <c r="AV716" s="7"/>
      <c r="AX716" s="7">
        <f t="shared" si="143"/>
        <v>1.3742940890594819</v>
      </c>
      <c r="AY716" s="7">
        <f t="shared" si="144"/>
        <v>19.224117061103495</v>
      </c>
      <c r="BB716" s="7">
        <f t="shared" si="145"/>
        <v>-1.0525772049485504</v>
      </c>
      <c r="BC716" s="7">
        <f t="shared" si="146"/>
        <v>6.1953628010493151</v>
      </c>
      <c r="BF716" s="7">
        <f t="shared" si="147"/>
        <v>-2.4067600695857698</v>
      </c>
      <c r="BG716" s="7">
        <f t="shared" si="148"/>
        <v>25.636259651951757</v>
      </c>
      <c r="BI716" s="10">
        <f t="shared" si="149"/>
        <v>-2.0850431854748384</v>
      </c>
      <c r="BJ716">
        <f t="shared" si="150"/>
        <v>51.055739514104573</v>
      </c>
    </row>
    <row r="717" spans="42:62" x14ac:dyDescent="0.25">
      <c r="AP717" s="1">
        <v>712</v>
      </c>
      <c r="AQ717" s="7">
        <f t="shared" si="139"/>
        <v>8783.0305265050865</v>
      </c>
      <c r="AR717" s="7">
        <f t="shared" si="140"/>
        <v>-157894.6274374958</v>
      </c>
      <c r="AS717" s="7"/>
      <c r="AT717" s="7">
        <f t="shared" si="141"/>
        <v>1006.5124092828798</v>
      </c>
      <c r="AU717" s="7">
        <f t="shared" si="142"/>
        <v>-2875.7852585117935</v>
      </c>
      <c r="AV717" s="7"/>
      <c r="AX717" s="7">
        <f t="shared" si="143"/>
        <v>1.2821957962955424</v>
      </c>
      <c r="AY717" s="7">
        <f t="shared" si="144"/>
        <v>18.906024174473355</v>
      </c>
      <c r="BB717" s="7">
        <f t="shared" si="145"/>
        <v>-1.0431573335088089</v>
      </c>
      <c r="BC717" s="7">
        <f t="shared" si="146"/>
        <v>6.0848530771238103</v>
      </c>
      <c r="BF717" s="7">
        <f t="shared" si="147"/>
        <v>-2.4216394193164175</v>
      </c>
      <c r="BG717" s="7">
        <f t="shared" si="148"/>
        <v>25.106181252789916</v>
      </c>
      <c r="BI717" s="10">
        <f t="shared" si="149"/>
        <v>-2.1826009565296838</v>
      </c>
      <c r="BJ717">
        <f t="shared" si="150"/>
        <v>50.097058504387078</v>
      </c>
    </row>
    <row r="718" spans="42:62" x14ac:dyDescent="0.25">
      <c r="AP718" s="1">
        <v>713</v>
      </c>
      <c r="AQ718" s="7">
        <f t="shared" si="139"/>
        <v>9286.0139060269612</v>
      </c>
      <c r="AR718" s="7">
        <f t="shared" si="140"/>
        <v>-159326.25793443865</v>
      </c>
      <c r="AS718" s="7"/>
      <c r="AT718" s="7">
        <f t="shared" si="141"/>
        <v>1005.421108804615</v>
      </c>
      <c r="AU718" s="7">
        <f t="shared" si="142"/>
        <v>-2850.7367292596</v>
      </c>
      <c r="AV718" s="7"/>
      <c r="AX718" s="7">
        <f t="shared" si="143"/>
        <v>1.1943955805919277</v>
      </c>
      <c r="AY718" s="7">
        <f t="shared" si="144"/>
        <v>18.597797631608906</v>
      </c>
      <c r="BB718" s="7">
        <f t="shared" si="145"/>
        <v>-1.0339478850979809</v>
      </c>
      <c r="BC718" s="7">
        <f t="shared" si="146"/>
        <v>5.9780933945004486</v>
      </c>
      <c r="BF718" s="7">
        <f t="shared" si="147"/>
        <v>-2.4346258984940041</v>
      </c>
      <c r="BG718" s="7">
        <f t="shared" si="148"/>
        <v>24.596115313290451</v>
      </c>
      <c r="BI718" s="10">
        <f t="shared" si="149"/>
        <v>-2.2741782030000577</v>
      </c>
      <c r="BJ718">
        <f t="shared" si="150"/>
        <v>49.1720063393998</v>
      </c>
    </row>
    <row r="719" spans="42:62" x14ac:dyDescent="0.25">
      <c r="AP719" s="1">
        <v>714</v>
      </c>
      <c r="AQ719" s="7">
        <f t="shared" si="139"/>
        <v>9788.4401881538924</v>
      </c>
      <c r="AR719" s="7">
        <f t="shared" si="140"/>
        <v>-160745.47979827604</v>
      </c>
      <c r="AS719" s="7"/>
      <c r="AT719" s="7">
        <f t="shared" si="141"/>
        <v>1004.284019703115</v>
      </c>
      <c r="AU719" s="7">
        <f t="shared" si="142"/>
        <v>-2826.1507260899002</v>
      </c>
      <c r="AV719" s="7"/>
      <c r="AX719" s="7">
        <f t="shared" si="143"/>
        <v>1.1106473998962625</v>
      </c>
      <c r="AY719" s="7">
        <f t="shared" si="144"/>
        <v>18.29900702001299</v>
      </c>
      <c r="BB719" s="7">
        <f t="shared" si="145"/>
        <v>-1.0249418167898934</v>
      </c>
      <c r="BC719" s="7">
        <f t="shared" si="146"/>
        <v>5.8749025181486951</v>
      </c>
      <c r="BF719" s="7">
        <f t="shared" si="147"/>
        <v>-2.4458762285433351</v>
      </c>
      <c r="BG719" s="7">
        <f t="shared" si="148"/>
        <v>24.105003632620882</v>
      </c>
      <c r="BI719" s="10">
        <f t="shared" si="149"/>
        <v>-2.3601706454369658</v>
      </c>
      <c r="BJ719">
        <f t="shared" si="150"/>
        <v>48.278913170782566</v>
      </c>
    </row>
    <row r="720" spans="42:62" x14ac:dyDescent="0.25">
      <c r="AP720" s="1">
        <v>715</v>
      </c>
      <c r="AQ720" s="7">
        <f t="shared" si="139"/>
        <v>10290.28717667477</v>
      </c>
      <c r="AR720" s="7">
        <f t="shared" si="140"/>
        <v>-162152.52029717463</v>
      </c>
      <c r="AS720" s="7"/>
      <c r="AT720" s="7">
        <f t="shared" si="141"/>
        <v>1003.1039343803965</v>
      </c>
      <c r="AU720" s="7">
        <f t="shared" si="142"/>
        <v>-2802.0112695045091</v>
      </c>
      <c r="AV720" s="7"/>
      <c r="AX720" s="7">
        <f t="shared" si="143"/>
        <v>1.0307221262297224</v>
      </c>
      <c r="AY720" s="7">
        <f t="shared" si="144"/>
        <v>18.009245960484552</v>
      </c>
      <c r="BB720" s="7">
        <f t="shared" si="145"/>
        <v>-1.0161324145170296</v>
      </c>
      <c r="BC720" s="7">
        <f t="shared" si="146"/>
        <v>5.775110519568325</v>
      </c>
      <c r="BF720" s="7">
        <f t="shared" si="147"/>
        <v>-2.4555333165989928</v>
      </c>
      <c r="BG720" s="7">
        <f t="shared" si="148"/>
        <v>23.631859365103381</v>
      </c>
      <c r="BI720" s="10">
        <f t="shared" si="149"/>
        <v>-2.4409436048863</v>
      </c>
      <c r="BJ720">
        <f t="shared" si="150"/>
        <v>47.416215845156259</v>
      </c>
    </row>
    <row r="721" spans="42:62" x14ac:dyDescent="0.25">
      <c r="AP721" s="1">
        <v>716</v>
      </c>
      <c r="AQ721" s="7">
        <f t="shared" si="139"/>
        <v>10791.534025914358</v>
      </c>
      <c r="AR721" s="7">
        <f t="shared" si="140"/>
        <v>-163547.59890494624</v>
      </c>
      <c r="AS721" s="7"/>
      <c r="AT721" s="7">
        <f t="shared" si="141"/>
        <v>1001.8834625779533</v>
      </c>
      <c r="AU721" s="7">
        <f t="shared" si="142"/>
        <v>-2778.3031615819309</v>
      </c>
      <c r="AV721" s="7"/>
      <c r="AX721" s="7">
        <f t="shared" si="143"/>
        <v>0.95440618506600772</v>
      </c>
      <c r="AY721" s="7">
        <f t="shared" si="144"/>
        <v>17.728130482860387</v>
      </c>
      <c r="BB721" s="7">
        <f t="shared" si="145"/>
        <v>-1.0075132726112217</v>
      </c>
      <c r="BC721" s="7">
        <f t="shared" si="146"/>
        <v>5.6785579172309477</v>
      </c>
      <c r="BF721" s="7">
        <f t="shared" si="147"/>
        <v>-2.4637276160782835</v>
      </c>
      <c r="BG721" s="7">
        <f t="shared" si="148"/>
        <v>23.17576121000349</v>
      </c>
      <c r="BI721" s="10">
        <f t="shared" si="149"/>
        <v>-2.5168347036234975</v>
      </c>
      <c r="BJ721">
        <f t="shared" si="150"/>
        <v>46.582449610094827</v>
      </c>
    </row>
    <row r="722" spans="42:62" x14ac:dyDescent="0.25">
      <c r="AP722" s="1">
        <v>717</v>
      </c>
      <c r="AQ722" s="7">
        <f t="shared" si="139"/>
        <v>11292.161152865381</v>
      </c>
      <c r="AR722" s="7">
        <f t="shared" si="140"/>
        <v>-164930.92767953593</v>
      </c>
      <c r="AS722" s="7"/>
      <c r="AT722" s="7">
        <f t="shared" si="141"/>
        <v>1000.6250452261415</v>
      </c>
      <c r="AU722" s="7">
        <f t="shared" si="142"/>
        <v>-2755.0119367768834</v>
      </c>
      <c r="AV722" s="7"/>
      <c r="AX722" s="7">
        <f t="shared" si="143"/>
        <v>0.88150031995379985</v>
      </c>
      <c r="AY722" s="7">
        <f t="shared" si="144"/>
        <v>17.455297529932757</v>
      </c>
      <c r="BB722" s="7">
        <f t="shared" si="145"/>
        <v>-0.9990782749964473</v>
      </c>
      <c r="BC722" s="7">
        <f t="shared" si="146"/>
        <v>5.5850948937604965</v>
      </c>
      <c r="BF722" s="7">
        <f t="shared" si="147"/>
        <v>-2.4705783375523214</v>
      </c>
      <c r="BG722" s="7">
        <f t="shared" si="148"/>
        <v>22.735848152903785</v>
      </c>
      <c r="BI722" s="10">
        <f t="shared" si="149"/>
        <v>-2.5881562925949688</v>
      </c>
      <c r="BJ722">
        <f t="shared" si="150"/>
        <v>45.77624057659704</v>
      </c>
    </row>
    <row r="723" spans="42:62" x14ac:dyDescent="0.25">
      <c r="AP723" s="1">
        <v>718</v>
      </c>
      <c r="AQ723" s="7">
        <f t="shared" si="139"/>
        <v>11792.150155941878</v>
      </c>
      <c r="AR723" s="7">
        <f t="shared" si="140"/>
        <v>-166302.7116178523</v>
      </c>
      <c r="AS723" s="7"/>
      <c r="AT723" s="7">
        <f t="shared" si="141"/>
        <v>999.33096707984407</v>
      </c>
      <c r="AU723" s="7">
        <f t="shared" si="142"/>
        <v>-2732.1238164885849</v>
      </c>
      <c r="AV723" s="7"/>
      <c r="AX723" s="7">
        <f t="shared" si="143"/>
        <v>0.81181846942308422</v>
      </c>
      <c r="AY723" s="7">
        <f t="shared" si="144"/>
        <v>17.190403578024743</v>
      </c>
      <c r="BB723" s="7">
        <f t="shared" si="145"/>
        <v>-0.99082157786613301</v>
      </c>
      <c r="BC723" s="7">
        <f t="shared" si="146"/>
        <v>5.4945805820129507</v>
      </c>
      <c r="BF723" s="7">
        <f t="shared" si="147"/>
        <v>-2.4761945281588345</v>
      </c>
      <c r="BG723" s="7">
        <f t="shared" si="148"/>
        <v>22.311314699097601</v>
      </c>
      <c r="BI723" s="10">
        <f t="shared" si="149"/>
        <v>-2.6551976366018835</v>
      </c>
      <c r="BJ723">
        <f t="shared" si="150"/>
        <v>44.996298859135294</v>
      </c>
    </row>
    <row r="724" spans="42:62" x14ac:dyDescent="0.25">
      <c r="AP724" s="1">
        <v>719</v>
      </c>
      <c r="AQ724" s="7">
        <f t="shared" si="139"/>
        <v>12291.483739777224</v>
      </c>
      <c r="AR724" s="7">
        <f t="shared" si="140"/>
        <v>-167663.14898873921</v>
      </c>
      <c r="AS724" s="7"/>
      <c r="AT724" s="7">
        <f t="shared" si="141"/>
        <v>998.00336826154307</v>
      </c>
      <c r="AU724" s="7">
        <f t="shared" si="142"/>
        <v>-2709.6256670590174</v>
      </c>
      <c r="AV724" s="7"/>
      <c r="AX724" s="7">
        <f t="shared" si="143"/>
        <v>0.74518674470221558</v>
      </c>
      <c r="AY724" s="7">
        <f t="shared" si="144"/>
        <v>16.933123363864507</v>
      </c>
      <c r="BB724" s="7">
        <f t="shared" si="145"/>
        <v>-0.98273759369780744</v>
      </c>
      <c r="BC724" s="7">
        <f t="shared" si="146"/>
        <v>5.4068824131143236</v>
      </c>
      <c r="BF724" s="7">
        <f t="shared" si="147"/>
        <v>-2.4806760353612312</v>
      </c>
      <c r="BG724" s="7">
        <f t="shared" si="148"/>
        <v>21.901406546620944</v>
      </c>
      <c r="BI724" s="10">
        <f t="shared" si="149"/>
        <v>-2.7182268843568229</v>
      </c>
      <c r="BJ724">
        <f t="shared" si="150"/>
        <v>44.241412323599775</v>
      </c>
    </row>
    <row r="725" spans="42:62" x14ac:dyDescent="0.25">
      <c r="AP725" s="1">
        <v>720</v>
      </c>
      <c r="AQ725" s="7">
        <f t="shared" si="139"/>
        <v>12790.145645547451</v>
      </c>
      <c r="AR725" s="7">
        <f t="shared" si="140"/>
        <v>-169012.43164572827</v>
      </c>
      <c r="AS725" s="7"/>
      <c r="AT725" s="7">
        <f t="shared" si="141"/>
        <v>996.64425481936462</v>
      </c>
      <c r="AU725" s="7">
        <f t="shared" si="142"/>
        <v>-2687.5049608972176</v>
      </c>
      <c r="AV725" s="7"/>
      <c r="AX725" s="7">
        <f t="shared" si="143"/>
        <v>0.6814424980721121</v>
      </c>
      <c r="AY725" s="7">
        <f t="shared" si="144"/>
        <v>16.683148708429243</v>
      </c>
      <c r="BB725" s="7">
        <f t="shared" si="145"/>
        <v>-0.97482097647557409</v>
      </c>
      <c r="BC725" s="7">
        <f t="shared" si="146"/>
        <v>5.3218755203013774</v>
      </c>
      <c r="BF725" s="7">
        <f t="shared" si="147"/>
        <v>-2.4841143687743061</v>
      </c>
      <c r="BG725" s="7">
        <f t="shared" si="148"/>
        <v>21.505416652773619</v>
      </c>
      <c r="BI725" s="10">
        <f t="shared" si="149"/>
        <v>-2.777492847177768</v>
      </c>
      <c r="BJ725">
        <f t="shared" si="150"/>
        <v>43.510440881504238</v>
      </c>
    </row>
    <row r="726" spans="42:62" x14ac:dyDescent="0.25">
      <c r="AP726" s="1">
        <v>721</v>
      </c>
      <c r="AQ726" s="7">
        <f t="shared" si="139"/>
        <v>13288.120586351237</v>
      </c>
      <c r="AR726" s="7">
        <f t="shared" si="140"/>
        <v>-170350.74532106667</v>
      </c>
      <c r="AS726" s="7"/>
      <c r="AT726" s="7">
        <f t="shared" si="141"/>
        <v>995.25550839577579</v>
      </c>
      <c r="AU726" s="7">
        <f t="shared" si="142"/>
        <v>-2665.7497404564656</v>
      </c>
      <c r="AV726" s="7"/>
      <c r="AX726" s="7">
        <f t="shared" si="143"/>
        <v>0.62043347282193173</v>
      </c>
      <c r="AY726" s="7">
        <f t="shared" si="144"/>
        <v>16.440187429340597</v>
      </c>
      <c r="BB726" s="7">
        <f t="shared" si="145"/>
        <v>-0.96706660800598343</v>
      </c>
      <c r="BC726" s="7">
        <f t="shared" si="146"/>
        <v>5.2394421930959609</v>
      </c>
      <c r="BF726" s="7">
        <f t="shared" si="147"/>
        <v>-2.4865934719911764</v>
      </c>
      <c r="BG726" s="7">
        <f t="shared" si="148"/>
        <v>21.122681653391254</v>
      </c>
      <c r="BI726" s="10">
        <f t="shared" si="149"/>
        <v>-2.8332266071752281</v>
      </c>
      <c r="BJ726">
        <f t="shared" si="150"/>
        <v>42.802311275827812</v>
      </c>
    </row>
    <row r="727" spans="42:62" x14ac:dyDescent="0.25">
      <c r="AP727" s="1">
        <v>722</v>
      </c>
      <c r="AQ727" s="7">
        <f t="shared" si="139"/>
        <v>13785.394187223226</v>
      </c>
      <c r="AR727" s="7">
        <f t="shared" si="140"/>
        <v>-171678.26990238542</v>
      </c>
      <c r="AS727" s="7"/>
      <c r="AT727" s="7">
        <f t="shared" si="141"/>
        <v>993.83889509218818</v>
      </c>
      <c r="AU727" s="7">
        <f t="shared" si="142"/>
        <v>-2644.3485848185519</v>
      </c>
      <c r="AV727" s="7"/>
      <c r="AX727" s="7">
        <f t="shared" si="143"/>
        <v>0.56201702676939314</v>
      </c>
      <c r="AY727" s="7">
        <f t="shared" si="144"/>
        <v>16.20396233421404</v>
      </c>
      <c r="BB727" s="7">
        <f t="shared" si="145"/>
        <v>-0.95946958522611792</v>
      </c>
      <c r="BC727" s="7">
        <f t="shared" si="146"/>
        <v>5.1594713769467235</v>
      </c>
      <c r="BF727" s="7">
        <f t="shared" si="147"/>
        <v>-2.488190414813702</v>
      </c>
      <c r="BG727" s="7">
        <f t="shared" si="148"/>
        <v>20.752578598848917</v>
      </c>
      <c r="BI727" s="10">
        <f t="shared" si="149"/>
        <v>-2.8856429732704267</v>
      </c>
      <c r="BJ727">
        <f t="shared" si="150"/>
        <v>42.11601231000968</v>
      </c>
    </row>
    <row r="728" spans="42:62" x14ac:dyDescent="0.25">
      <c r="AP728" s="1">
        <v>723</v>
      </c>
      <c r="AQ728" s="7">
        <f t="shared" si="139"/>
        <v>14281.952929397661</v>
      </c>
      <c r="AR728" s="7">
        <f t="shared" si="140"/>
        <v>-172995.17969325595</v>
      </c>
      <c r="AS728" s="7"/>
      <c r="AT728" s="7">
        <f t="shared" si="141"/>
        <v>992.39607360555294</v>
      </c>
      <c r="AU728" s="7">
        <f t="shared" si="142"/>
        <v>-2623.290578663547</v>
      </c>
      <c r="AV728" s="7"/>
      <c r="AX728" s="7">
        <f t="shared" si="143"/>
        <v>0.5060594221865109</v>
      </c>
      <c r="AY728" s="7">
        <f t="shared" si="144"/>
        <v>15.974210288093635</v>
      </c>
      <c r="BB728" s="7">
        <f t="shared" si="145"/>
        <v>-0.95202520841399252</v>
      </c>
      <c r="BC728" s="7">
        <f t="shared" si="146"/>
        <v>5.0818582140002091</v>
      </c>
      <c r="BF728" s="7">
        <f t="shared" si="147"/>
        <v>-2.4889760149692446</v>
      </c>
      <c r="BG728" s="7">
        <f t="shared" si="148"/>
        <v>20.394521974883506</v>
      </c>
      <c r="BI728" s="10">
        <f t="shared" si="149"/>
        <v>-2.9349418011967261</v>
      </c>
      <c r="BJ728">
        <f t="shared" si="150"/>
        <v>41.450590476977354</v>
      </c>
    </row>
    <row r="729" spans="42:62" x14ac:dyDescent="0.25">
      <c r="AP729" s="1">
        <v>724</v>
      </c>
      <c r="AQ729" s="7">
        <f t="shared" si="139"/>
        <v>14777.784098475287</v>
      </c>
      <c r="AR729" s="7">
        <f t="shared" si="140"/>
        <v>-174301.64365877808</v>
      </c>
      <c r="AS729" s="7"/>
      <c r="AT729" s="7">
        <f t="shared" si="141"/>
        <v>990.92860270495453</v>
      </c>
      <c r="AU729" s="7">
        <f t="shared" si="142"/>
        <v>-2602.5652834250582</v>
      </c>
      <c r="AV729" s="7"/>
      <c r="AX729" s="7">
        <f t="shared" si="143"/>
        <v>0.45243517574399911</v>
      </c>
      <c r="AY729" s="7">
        <f t="shared" si="144"/>
        <v>15.750681348753101</v>
      </c>
      <c r="BB729" s="7">
        <f t="shared" si="145"/>
        <v>-0.94472897022110736</v>
      </c>
      <c r="BC729" s="7">
        <f t="shared" si="146"/>
        <v>5.0065036211277301</v>
      </c>
      <c r="BF729" s="7">
        <f t="shared" si="147"/>
        <v>-2.4890153972605664</v>
      </c>
      <c r="BG729" s="7">
        <f t="shared" si="148"/>
        <v>20.047960979925051</v>
      </c>
      <c r="BI729" s="10">
        <f t="shared" si="149"/>
        <v>-2.9813091917376746</v>
      </c>
      <c r="BJ729">
        <f t="shared" si="150"/>
        <v>40.805145949805883</v>
      </c>
    </row>
    <row r="730" spans="42:62" x14ac:dyDescent="0.25">
      <c r="AP730" s="1">
        <v>725</v>
      </c>
      <c r="AQ730" s="7">
        <f t="shared" si="139"/>
        <v>15272.875736178798</v>
      </c>
      <c r="AR730" s="7">
        <f t="shared" si="140"/>
        <v>-175597.82565724687</v>
      </c>
      <c r="AS730" s="7"/>
      <c r="AT730" s="7">
        <f t="shared" si="141"/>
        <v>989.43794810908571</v>
      </c>
      <c r="AU730" s="7">
        <f t="shared" si="142"/>
        <v>-2582.1627104501554</v>
      </c>
      <c r="AV730" s="7"/>
      <c r="AX730" s="7">
        <f t="shared" si="143"/>
        <v>0.40102646276888576</v>
      </c>
      <c r="AY730" s="7">
        <f t="shared" si="144"/>
        <v>15.533137964231257</v>
      </c>
      <c r="BB730" s="7">
        <f t="shared" si="145"/>
        <v>-0.93757654545580715</v>
      </c>
      <c r="BC730" s="7">
        <f t="shared" si="146"/>
        <v>4.9333139017454517</v>
      </c>
      <c r="BF730" s="7">
        <f t="shared" si="147"/>
        <v>-2.4883684971126883</v>
      </c>
      <c r="BG730" s="7">
        <f t="shared" si="148"/>
        <v>19.71237703376827</v>
      </c>
      <c r="BI730" s="10">
        <f t="shared" si="149"/>
        <v>-3.0249185797996097</v>
      </c>
      <c r="BJ730">
        <f t="shared" si="150"/>
        <v>40.178828899744978</v>
      </c>
    </row>
    <row r="731" spans="42:62" x14ac:dyDescent="0.25">
      <c r="AP731" s="1">
        <v>726</v>
      </c>
      <c r="AQ731" s="7">
        <f t="shared" si="139"/>
        <v>15767.216595410866</v>
      </c>
      <c r="AR731" s="7">
        <f t="shared" si="140"/>
        <v>-176883.88465885949</v>
      </c>
      <c r="AS731" s="7"/>
      <c r="AT731" s="7">
        <f t="shared" si="141"/>
        <v>987.92548881918594</v>
      </c>
      <c r="AU731" s="7">
        <f t="shared" si="142"/>
        <v>-2562.0732960002829</v>
      </c>
      <c r="AV731" s="7"/>
      <c r="AX731" s="7">
        <f t="shared" si="143"/>
        <v>0.35172257071135693</v>
      </c>
      <c r="AY731" s="7">
        <f t="shared" si="144"/>
        <v>15.321354227492161</v>
      </c>
      <c r="BB731" s="7">
        <f t="shared" si="145"/>
        <v>-0.93056378155353059</v>
      </c>
      <c r="BC731" s="7">
        <f t="shared" si="146"/>
        <v>4.8622003883264266</v>
      </c>
      <c r="BF731" s="7">
        <f t="shared" si="147"/>
        <v>-2.4870905146309989</v>
      </c>
      <c r="BG731" s="7">
        <f t="shared" si="148"/>
        <v>19.387281495183082</v>
      </c>
      <c r="BI731" s="10">
        <f t="shared" si="149"/>
        <v>-3.0659317254731726</v>
      </c>
      <c r="BJ731">
        <f t="shared" si="150"/>
        <v>39.570836111001668</v>
      </c>
    </row>
    <row r="732" spans="42:62" x14ac:dyDescent="0.25">
      <c r="AP732" s="1">
        <v>727</v>
      </c>
      <c r="AQ732" s="7">
        <f t="shared" si="139"/>
        <v>16260.796098354775</v>
      </c>
      <c r="AR732" s="7">
        <f t="shared" si="140"/>
        <v>-178159.97495234577</v>
      </c>
      <c r="AS732" s="7"/>
      <c r="AT732" s="7">
        <f t="shared" si="141"/>
        <v>986.3925229564494</v>
      </c>
      <c r="AU732" s="7">
        <f t="shared" si="142"/>
        <v>-2542.2878779447819</v>
      </c>
      <c r="AV732" s="7"/>
      <c r="AX732" s="7">
        <f t="shared" si="143"/>
        <v>0.30441939724875078</v>
      </c>
      <c r="AY732" s="7">
        <f t="shared" si="144"/>
        <v>15.11511518356715</v>
      </c>
      <c r="BB732" s="7">
        <f t="shared" si="145"/>
        <v>-0.92368668967660716</v>
      </c>
      <c r="BC732" s="7">
        <f t="shared" si="146"/>
        <v>4.79307911282321</v>
      </c>
      <c r="BF732" s="7">
        <f t="shared" si="147"/>
        <v>-2.4852323245471846</v>
      </c>
      <c r="BG732" s="7">
        <f t="shared" si="148"/>
        <v>19.072213568487062</v>
      </c>
      <c r="BI732" s="10">
        <f t="shared" si="149"/>
        <v>-3.1044996169750414</v>
      </c>
      <c r="BJ732">
        <f t="shared" si="150"/>
        <v>38.980407864877421</v>
      </c>
    </row>
    <row r="733" spans="42:62" x14ac:dyDescent="0.25">
      <c r="AP733" s="1">
        <v>728</v>
      </c>
      <c r="AQ733" s="7">
        <f t="shared" si="139"/>
        <v>16753.604297380876</v>
      </c>
      <c r="AR733" s="7">
        <f t="shared" si="140"/>
        <v>-179426.24634033506</v>
      </c>
      <c r="AS733" s="7"/>
      <c r="AT733" s="7">
        <f t="shared" si="141"/>
        <v>984.84027314796185</v>
      </c>
      <c r="AU733" s="7">
        <f t="shared" si="142"/>
        <v>-2522.7976740123431</v>
      </c>
      <c r="AV733" s="7"/>
      <c r="AX733" s="7">
        <f t="shared" si="143"/>
        <v>0.2590189889259924</v>
      </c>
      <c r="AY733" s="7">
        <f t="shared" si="144"/>
        <v>14.914216184965497</v>
      </c>
      <c r="BB733" s="7">
        <f t="shared" si="145"/>
        <v>-0.91694143639201076</v>
      </c>
      <c r="BC733" s="7">
        <f t="shared" si="146"/>
        <v>4.7258705025028345</v>
      </c>
      <c r="BF733" s="7">
        <f t="shared" si="147"/>
        <v>-2.4828408467893515</v>
      </c>
      <c r="BG733" s="7">
        <f t="shared" si="148"/>
        <v>18.766738381243076</v>
      </c>
      <c r="BI733" s="10">
        <f t="shared" si="149"/>
        <v>-3.1407632942553696</v>
      </c>
      <c r="BJ733">
        <f t="shared" si="150"/>
        <v>38.406825068711406</v>
      </c>
    </row>
    <row r="734" spans="42:62" x14ac:dyDescent="0.25">
      <c r="AP734" s="1">
        <v>729</v>
      </c>
      <c r="AQ734" s="7">
        <f t="shared" si="139"/>
        <v>17245.631838543079</v>
      </c>
      <c r="AR734" s="7">
        <f t="shared" si="140"/>
        <v>-180682.84432420766</v>
      </c>
      <c r="AS734" s="7"/>
      <c r="AT734" s="7">
        <f t="shared" si="141"/>
        <v>983.26989150083421</v>
      </c>
      <c r="AU734" s="7">
        <f t="shared" si="142"/>
        <v>-2503.5942614779874</v>
      </c>
      <c r="AV734" s="7"/>
      <c r="AX734" s="7">
        <f t="shared" si="143"/>
        <v>0.21542911664941791</v>
      </c>
      <c r="AY734" s="7">
        <f t="shared" si="144"/>
        <v>14.718462291509839</v>
      </c>
      <c r="BB734" s="7">
        <f t="shared" si="145"/>
        <v>-0.91032433588076345</v>
      </c>
      <c r="BC734" s="7">
        <f t="shared" si="146"/>
        <v>4.6604990989482795</v>
      </c>
      <c r="BF734" s="7">
        <f t="shared" si="147"/>
        <v>-2.4799593818549992</v>
      </c>
      <c r="BG734" s="7">
        <f t="shared" si="148"/>
        <v>18.470445217129427</v>
      </c>
      <c r="BI734" s="10">
        <f t="shared" si="149"/>
        <v>-3.1748546010863445</v>
      </c>
      <c r="BJ734">
        <f t="shared" si="150"/>
        <v>37.849406607587547</v>
      </c>
    </row>
    <row r="735" spans="42:62" x14ac:dyDescent="0.25">
      <c r="AP735" s="1">
        <v>730</v>
      </c>
      <c r="AQ735" s="7">
        <f t="shared" si="139"/>
        <v>17736.86992746836</v>
      </c>
      <c r="AR735" s="7">
        <f t="shared" si="140"/>
        <v>-181929.9102791207</v>
      </c>
      <c r="AS735" s="7"/>
      <c r="AT735" s="7">
        <f t="shared" si="141"/>
        <v>981.68246420029107</v>
      </c>
      <c r="AU735" s="7">
        <f t="shared" si="142"/>
        <v>-2484.6695581741938</v>
      </c>
      <c r="AV735" s="7"/>
      <c r="AX735" s="7">
        <f t="shared" si="143"/>
        <v>0.17356288472239437</v>
      </c>
      <c r="AY735" s="7">
        <f t="shared" si="144"/>
        <v>14.527667711104963</v>
      </c>
      <c r="BB735" s="7">
        <f t="shared" si="145"/>
        <v>-0.90383184263702099</v>
      </c>
      <c r="BC735" s="7">
        <f t="shared" si="146"/>
        <v>4.5968932982029509</v>
      </c>
      <c r="BF735" s="7">
        <f t="shared" si="147"/>
        <v>-2.4766279146793169</v>
      </c>
      <c r="BG735" s="7">
        <f t="shared" si="148"/>
        <v>18.182945889694714</v>
      </c>
      <c r="BI735" s="10">
        <f t="shared" si="149"/>
        <v>-3.2068968725939433</v>
      </c>
      <c r="BJ735">
        <f t="shared" si="150"/>
        <v>37.307506899002625</v>
      </c>
    </row>
    <row r="736" spans="42:62" x14ac:dyDescent="0.25">
      <c r="AP736" s="1">
        <v>731</v>
      </c>
      <c r="AQ736" s="7">
        <f t="shared" si="139"/>
        <v>18227.310297459433</v>
      </c>
      <c r="AR736" s="7">
        <f t="shared" si="140"/>
        <v>-183167.58161984541</v>
      </c>
      <c r="AS736" s="7"/>
      <c r="AT736" s="7">
        <f t="shared" si="141"/>
        <v>980.07901576399411</v>
      </c>
      <c r="AU736" s="7">
        <f t="shared" si="142"/>
        <v>-2466.0158047246923</v>
      </c>
      <c r="AV736" s="7"/>
      <c r="AX736" s="7">
        <f t="shared" si="143"/>
        <v>0.13333837044111063</v>
      </c>
      <c r="AY736" s="7">
        <f t="shared" si="144"/>
        <v>14.34165527824848</v>
      </c>
      <c r="BB736" s="7">
        <f t="shared" si="145"/>
        <v>-0.89746054461886449</v>
      </c>
      <c r="BC736" s="7">
        <f t="shared" si="146"/>
        <v>4.5349851102335297</v>
      </c>
      <c r="BF736" s="7">
        <f t="shared" si="147"/>
        <v>-2.4728833902664458</v>
      </c>
      <c r="BG736" s="7">
        <f t="shared" si="148"/>
        <v>17.903873244181806</v>
      </c>
      <c r="BI736" s="10">
        <f t="shared" si="149"/>
        <v>-3.2370055644441997</v>
      </c>
      <c r="BJ736">
        <f t="shared" si="150"/>
        <v>36.780513632663819</v>
      </c>
    </row>
    <row r="737" spans="42:62" x14ac:dyDescent="0.25">
      <c r="AP737" s="1">
        <v>732</v>
      </c>
      <c r="AQ737" s="7">
        <f t="shared" si="139"/>
        <v>18716.945179645874</v>
      </c>
      <c r="AR737" s="7">
        <f t="shared" si="140"/>
        <v>-184395.99195800369</v>
      </c>
      <c r="AS737" s="7"/>
      <c r="AT737" s="7">
        <f t="shared" si="141"/>
        <v>978.46051298177201</v>
      </c>
      <c r="AU737" s="7">
        <f t="shared" si="142"/>
        <v>-2447.6255479083602</v>
      </c>
      <c r="AV737" s="7"/>
      <c r="AX737" s="7">
        <f t="shared" si="143"/>
        <v>9.4678291563093306E-2</v>
      </c>
      <c r="AY737" s="7">
        <f t="shared" si="144"/>
        <v>14.16025596737509</v>
      </c>
      <c r="BB737" s="7">
        <f t="shared" si="145"/>
        <v>-0.8912071568165616</v>
      </c>
      <c r="BC737" s="7">
        <f t="shared" si="146"/>
        <v>4.4747099360645448</v>
      </c>
      <c r="BF737" s="7">
        <f t="shared" si="147"/>
        <v>-2.4687599639802951</v>
      </c>
      <c r="BG737" s="7">
        <f t="shared" si="148"/>
        <v>17.632879775914368</v>
      </c>
      <c r="BI737" s="10">
        <f t="shared" si="149"/>
        <v>-3.2652888292337634</v>
      </c>
      <c r="BJ737">
        <f t="shared" si="150"/>
        <v>36.267845679354004</v>
      </c>
    </row>
    <row r="738" spans="42:62" x14ac:dyDescent="0.25">
      <c r="AP738" s="1">
        <v>733</v>
      </c>
      <c r="AQ738" s="7">
        <f t="shared" si="139"/>
        <v>19205.767275033108</v>
      </c>
      <c r="AR738" s="7">
        <f t="shared" si="140"/>
        <v>-185615.27125124796</v>
      </c>
      <c r="AS738" s="7"/>
      <c r="AT738" s="7">
        <f t="shared" si="141"/>
        <v>976.82786856715518</v>
      </c>
      <c r="AU738" s="7">
        <f t="shared" si="142"/>
        <v>-2429.4916250686833</v>
      </c>
      <c r="AV738" s="7"/>
      <c r="AX738" s="7">
        <f t="shared" si="143"/>
        <v>5.7509699223193315E-2</v>
      </c>
      <c r="AY738" s="7">
        <f t="shared" si="144"/>
        <v>13.983308438376943</v>
      </c>
      <c r="BB738" s="7">
        <f t="shared" si="145"/>
        <v>-0.88506851520697649</v>
      </c>
      <c r="BC738" s="7">
        <f t="shared" si="146"/>
        <v>4.4160063610948876</v>
      </c>
      <c r="BF738" s="7">
        <f t="shared" si="147"/>
        <v>-2.4642892290655207</v>
      </c>
      <c r="BG738" s="7">
        <f t="shared" si="148"/>
        <v>17.369636354894993</v>
      </c>
      <c r="BI738" s="10">
        <f t="shared" si="149"/>
        <v>-3.2918480450493042</v>
      </c>
      <c r="BJ738">
        <f t="shared" si="150"/>
        <v>35.768951154366825</v>
      </c>
    </row>
    <row r="739" spans="42:62" x14ac:dyDescent="0.25">
      <c r="AP739" s="1">
        <v>734</v>
      </c>
      <c r="AQ739" s="7">
        <f t="shared" si="139"/>
        <v>19693.769728311054</v>
      </c>
      <c r="AR739" s="7">
        <f t="shared" si="140"/>
        <v>-186825.54594488803</v>
      </c>
      <c r="AS739" s="7"/>
      <c r="AT739" s="7">
        <f t="shared" si="141"/>
        <v>975.18194454463048</v>
      </c>
      <c r="AU739" s="7">
        <f t="shared" si="142"/>
        <v>-2411.6071494915</v>
      </c>
      <c r="AV739" s="7"/>
      <c r="AX739" s="7">
        <f t="shared" si="143"/>
        <v>2.1763694105945534E-2</v>
      </c>
      <c r="AY739" s="7">
        <f t="shared" si="144"/>
        <v>13.810658611867296</v>
      </c>
      <c r="BB739" s="7">
        <f t="shared" si="145"/>
        <v>-0.87904157106574254</v>
      </c>
      <c r="BC739" s="7">
        <f t="shared" si="146"/>
        <v>4.3588159632483627</v>
      </c>
      <c r="BF739" s="7">
        <f t="shared" si="147"/>
        <v>-2.4595004236833615</v>
      </c>
      <c r="BG739" s="7">
        <f t="shared" si="148"/>
        <v>17.113831047293129</v>
      </c>
      <c r="BI739" s="10">
        <f t="shared" si="149"/>
        <v>-3.3167783006431586</v>
      </c>
      <c r="BJ739">
        <f t="shared" si="150"/>
        <v>35.28330562240879</v>
      </c>
    </row>
    <row r="740" spans="42:62" x14ac:dyDescent="0.25">
      <c r="AP740" s="1">
        <v>735</v>
      </c>
      <c r="AQ740" s="7">
        <f t="shared" si="139"/>
        <v>20180.946103295788</v>
      </c>
      <c r="AR740" s="7">
        <f t="shared" si="140"/>
        <v>-188026.93910643097</v>
      </c>
      <c r="AS740" s="7"/>
      <c r="AT740" s="7">
        <f t="shared" si="141"/>
        <v>973.52355539430891</v>
      </c>
      <c r="AU740" s="7">
        <f t="shared" si="142"/>
        <v>-2393.9654966802955</v>
      </c>
      <c r="AV740" s="7"/>
      <c r="AX740" s="7">
        <f t="shared" si="143"/>
        <v>-1.2624836107411443E-2</v>
      </c>
      <c r="AY740" s="7">
        <f t="shared" si="144"/>
        <v>13.642159271964662</v>
      </c>
      <c r="BB740" s="7">
        <f t="shared" si="145"/>
        <v>-0.87312338561141623</v>
      </c>
      <c r="BC740" s="7">
        <f t="shared" si="146"/>
        <v>4.3030831347371068</v>
      </c>
      <c r="BF740" s="7">
        <f t="shared" si="147"/>
        <v>-2.4544206194964118</v>
      </c>
      <c r="BG740" s="7">
        <f t="shared" si="148"/>
        <v>16.865168025421816</v>
      </c>
      <c r="BI740" s="10">
        <f t="shared" si="149"/>
        <v>-3.3401688412152395</v>
      </c>
      <c r="BJ740">
        <f t="shared" si="150"/>
        <v>34.810410432123589</v>
      </c>
    </row>
    <row r="741" spans="42:62" x14ac:dyDescent="0.25">
      <c r="AP741" s="1">
        <v>736</v>
      </c>
      <c r="AQ741" s="7">
        <f t="shared" si="139"/>
        <v>20667.290359887789</v>
      </c>
      <c r="AR741" s="7">
        <f t="shared" si="140"/>
        <v>-189219.57055346711</v>
      </c>
      <c r="AS741" s="7"/>
      <c r="AT741" s="7">
        <f t="shared" si="141"/>
        <v>971.85347097370129</v>
      </c>
      <c r="AU741" s="7">
        <f t="shared" si="142"/>
        <v>-2376.5602914642336</v>
      </c>
      <c r="AV741" s="7"/>
      <c r="AX741" s="7">
        <f t="shared" si="143"/>
        <v>-4.5717459811584968E-2</v>
      </c>
      <c r="AY741" s="7">
        <f t="shared" si="144"/>
        <v>13.47766969455804</v>
      </c>
      <c r="BB741" s="7">
        <f t="shared" si="145"/>
        <v>-0.86731112495784257</v>
      </c>
      <c r="BC741" s="7">
        <f t="shared" si="146"/>
        <v>4.2487549163288438</v>
      </c>
      <c r="BF741" s="7">
        <f t="shared" si="147"/>
        <v>-2.449074893614406</v>
      </c>
      <c r="BG741" s="7">
        <f t="shared" si="148"/>
        <v>16.623366558613448</v>
      </c>
      <c r="BI741" s="10">
        <f t="shared" si="149"/>
        <v>-3.3621034783838337</v>
      </c>
      <c r="BJ741">
        <f t="shared" si="150"/>
        <v>34.349791169500328</v>
      </c>
    </row>
    <row r="742" spans="42:62" x14ac:dyDescent="0.25">
      <c r="AP742" s="1">
        <v>737</v>
      </c>
      <c r="AQ742" s="7">
        <f t="shared" si="139"/>
        <v>21152.796832439843</v>
      </c>
      <c r="AR742" s="7">
        <f t="shared" si="140"/>
        <v>-190403.55697530304</v>
      </c>
      <c r="AS742" s="7"/>
      <c r="AT742" s="7">
        <f t="shared" si="141"/>
        <v>970.17241923450933</v>
      </c>
      <c r="AU742" s="7">
        <f t="shared" si="142"/>
        <v>-2359.3853958794834</v>
      </c>
      <c r="AV742" s="7"/>
      <c r="AX742" s="7">
        <f t="shared" si="143"/>
        <v>-7.7572426695909608E-2</v>
      </c>
      <c r="AY742" s="7">
        <f t="shared" si="144"/>
        <v>13.317055299184808</v>
      </c>
      <c r="BB742" s="7">
        <f t="shared" si="145"/>
        <v>-0.86160205535321033</v>
      </c>
      <c r="BC742" s="7">
        <f t="shared" si="146"/>
        <v>4.1957808431116117</v>
      </c>
      <c r="BF742" s="7">
        <f t="shared" si="147"/>
        <v>-2.4434864855190876</v>
      </c>
      <c r="BG742" s="7">
        <f t="shared" si="148"/>
        <v>16.388160078141279</v>
      </c>
      <c r="BI742" s="10">
        <f t="shared" si="149"/>
        <v>-3.3826609675682078</v>
      </c>
      <c r="BJ742">
        <f t="shared" si="150"/>
        <v>33.900996220437698</v>
      </c>
    </row>
    <row r="743" spans="42:62" x14ac:dyDescent="0.25">
      <c r="AP743" s="1">
        <v>738</v>
      </c>
      <c r="AQ743" s="7">
        <f t="shared" si="139"/>
        <v>21637.460209436151</v>
      </c>
      <c r="AR743" s="7">
        <f t="shared" si="140"/>
        <v>-191579.01204871523</v>
      </c>
      <c r="AS743" s="7"/>
      <c r="AT743" s="7">
        <f t="shared" si="141"/>
        <v>968.48108875072523</v>
      </c>
      <c r="AU743" s="7">
        <f t="shared" si="142"/>
        <v>-2342.4348977692648</v>
      </c>
      <c r="AV743" s="7"/>
      <c r="AX743" s="7">
        <f t="shared" si="143"/>
        <v>-0.10824487658471864</v>
      </c>
      <c r="AY743" s="7">
        <f t="shared" si="144"/>
        <v>13.160187322806003</v>
      </c>
      <c r="BB743" s="7">
        <f t="shared" si="145"/>
        <v>-0.85599353868598205</v>
      </c>
      <c r="BC743" s="7">
        <f t="shared" si="146"/>
        <v>4.1441128008403236</v>
      </c>
      <c r="BF743" s="7">
        <f t="shared" si="147"/>
        <v>-2.4376769404125467</v>
      </c>
      <c r="BG743" s="7">
        <f t="shared" si="148"/>
        <v>16.159295309974816</v>
      </c>
      <c r="BI743" s="10">
        <f t="shared" si="149"/>
        <v>-3.4019153556832471</v>
      </c>
      <c r="BJ743">
        <f t="shared" si="150"/>
        <v>33.463595433621144</v>
      </c>
    </row>
    <row r="744" spans="42:62" x14ac:dyDescent="0.25">
      <c r="AP744" s="1">
        <v>739</v>
      </c>
      <c r="AQ744" s="7">
        <f t="shared" si="139"/>
        <v>22121.275514392055</v>
      </c>
      <c r="AR744" s="7">
        <f t="shared" si="140"/>
        <v>-192746.04654817065</v>
      </c>
      <c r="AS744" s="7"/>
      <c r="AT744" s="7">
        <f t="shared" si="141"/>
        <v>966.78013107288359</v>
      </c>
      <c r="AU744" s="7">
        <f t="shared" si="142"/>
        <v>-2325.7031000524544</v>
      </c>
      <c r="AV744" s="7"/>
      <c r="AX744" s="7">
        <f t="shared" si="143"/>
        <v>-0.13778703323969604</v>
      </c>
      <c r="AY744" s="7">
        <f t="shared" si="144"/>
        <v>13.006942513904434</v>
      </c>
      <c r="BB744" s="7">
        <f t="shared" si="145"/>
        <v>-0.8504830282395478</v>
      </c>
      <c r="BC744" s="7">
        <f t="shared" si="146"/>
        <v>4.0937048920317638</v>
      </c>
      <c r="BF744" s="7">
        <f t="shared" si="147"/>
        <v>-2.4316662402830591</v>
      </c>
      <c r="BG744" s="7">
        <f t="shared" si="148"/>
        <v>15.936531469753639</v>
      </c>
      <c r="BI744" s="10">
        <f t="shared" si="149"/>
        <v>-3.419936301762303</v>
      </c>
      <c r="BJ744">
        <f t="shared" si="150"/>
        <v>33.037178875689833</v>
      </c>
    </row>
    <row r="745" spans="42:62" x14ac:dyDescent="0.25">
      <c r="AP745" s="1">
        <v>740</v>
      </c>
      <c r="AQ745" s="7">
        <f t="shared" si="139"/>
        <v>22604.238087890775</v>
      </c>
      <c r="AR745" s="7">
        <f t="shared" si="140"/>
        <v>-193904.76845083741</v>
      </c>
      <c r="AS745" s="7"/>
      <c r="AT745" s="7">
        <f t="shared" si="141"/>
        <v>965.0701629220024</v>
      </c>
      <c r="AU745" s="7">
        <f t="shared" si="142"/>
        <v>-2309.1845106146093</v>
      </c>
      <c r="AV745" s="7"/>
      <c r="AX745" s="7">
        <f t="shared" si="143"/>
        <v>-0.16624838434273667</v>
      </c>
      <c r="AY745" s="7">
        <f t="shared" si="144"/>
        <v>12.857202845456206</v>
      </c>
      <c r="BB745" s="7">
        <f t="shared" si="145"/>
        <v>-0.84506806467893991</v>
      </c>
      <c r="BC745" s="7">
        <f t="shared" si="146"/>
        <v>4.0445133110485667</v>
      </c>
      <c r="BF745" s="7">
        <f t="shared" si="147"/>
        <v>-2.4254729238456578</v>
      </c>
      <c r="BG745" s="7">
        <f t="shared" si="148"/>
        <v>15.719639514873464</v>
      </c>
      <c r="BI745" s="10">
        <f t="shared" si="149"/>
        <v>-3.4367893728673344</v>
      </c>
      <c r="BJ745">
        <f t="shared" si="150"/>
        <v>32.62135567137824</v>
      </c>
    </row>
    <row r="746" spans="42:62" x14ac:dyDescent="0.25">
      <c r="AP746" s="1">
        <v>741</v>
      </c>
      <c r="AQ746" s="7">
        <f t="shared" si="139"/>
        <v>23086.343570680168</v>
      </c>
      <c r="AR746" s="7">
        <f t="shared" si="140"/>
        <v>-195055.28303668578</v>
      </c>
      <c r="AS746" s="7"/>
      <c r="AT746" s="7">
        <f t="shared" si="141"/>
        <v>963.35176823556878</v>
      </c>
      <c r="AU746" s="7">
        <f t="shared" si="142"/>
        <v>-2292.8738327789201</v>
      </c>
      <c r="AV746" s="7"/>
      <c r="AX746" s="7">
        <f t="shared" si="143"/>
        <v>-0.19367584876826591</v>
      </c>
      <c r="AY746" s="7">
        <f t="shared" si="144"/>
        <v>12.710855245445318</v>
      </c>
      <c r="BB746" s="7">
        <f t="shared" si="145"/>
        <v>-0.83974627225421949</v>
      </c>
      <c r="BC746" s="7">
        <f t="shared" si="146"/>
        <v>3.9964962274790792</v>
      </c>
      <c r="BF746" s="7">
        <f t="shared" si="147"/>
        <v>-2.4191141963968308</v>
      </c>
      <c r="BG746" s="7">
        <f t="shared" si="148"/>
        <v>15.50840144905867</v>
      </c>
      <c r="BI746" s="10">
        <f t="shared" si="149"/>
        <v>-3.452536317419316</v>
      </c>
      <c r="BJ746">
        <f t="shared" si="150"/>
        <v>32.215752921983068</v>
      </c>
    </row>
    <row r="747" spans="42:62" x14ac:dyDescent="0.25">
      <c r="AP747" s="1">
        <v>742</v>
      </c>
      <c r="AQ747" s="7">
        <f t="shared" si="139"/>
        <v>23567.587887758273</v>
      </c>
      <c r="AR747" s="7">
        <f t="shared" si="140"/>
        <v>-196197.69298396001</v>
      </c>
      <c r="AS747" s="7"/>
      <c r="AT747" s="7">
        <f t="shared" si="141"/>
        <v>961.62550007685911</v>
      </c>
      <c r="AU747" s="7">
        <f t="shared" si="142"/>
        <v>-2276.7659563179286</v>
      </c>
      <c r="AV747" s="7"/>
      <c r="AX747" s="7">
        <f t="shared" si="143"/>
        <v>-0.22011393215514768</v>
      </c>
      <c r="AY747" s="7">
        <f t="shared" si="144"/>
        <v>12.567791343692736</v>
      </c>
      <c r="BB747" s="7">
        <f t="shared" si="145"/>
        <v>-0.83451535520648445</v>
      </c>
      <c r="BC747" s="7">
        <f t="shared" si="146"/>
        <v>3.9496136771808086</v>
      </c>
      <c r="BF747" s="7">
        <f t="shared" si="147"/>
        <v>-2.412606030515279</v>
      </c>
      <c r="BG747" s="7">
        <f t="shared" si="148"/>
        <v>15.302609675207769</v>
      </c>
      <c r="BI747" s="10">
        <f t="shared" si="149"/>
        <v>-3.4672353178769111</v>
      </c>
      <c r="BJ747">
        <f t="shared" si="150"/>
        <v>31.820014696081312</v>
      </c>
    </row>
    <row r="748" spans="42:62" x14ac:dyDescent="0.25">
      <c r="AP748" s="1">
        <v>743</v>
      </c>
      <c r="AQ748" s="7">
        <f t="shared" si="139"/>
        <v>24047.967233381965</v>
      </c>
      <c r="AR748" s="7">
        <f t="shared" si="140"/>
        <v>-197332.09846028197</v>
      </c>
      <c r="AS748" s="7"/>
      <c r="AT748" s="7">
        <f t="shared" si="141"/>
        <v>959.89188241792067</v>
      </c>
      <c r="AU748" s="7">
        <f t="shared" si="142"/>
        <v>-2260.8559489698878</v>
      </c>
      <c r="AV748" s="7"/>
      <c r="AX748" s="7">
        <f t="shared" si="143"/>
        <v>-0.24560487169921766</v>
      </c>
      <c r="AY748" s="7">
        <f t="shared" si="144"/>
        <v>12.427907233870645</v>
      </c>
      <c r="BB748" s="7">
        <f t="shared" si="145"/>
        <v>-0.82937309436339868</v>
      </c>
      <c r="BC748" s="7">
        <f t="shared" si="146"/>
        <v>3.9038274604087397</v>
      </c>
      <c r="BF748" s="7">
        <f t="shared" si="147"/>
        <v>-2.405963258447311</v>
      </c>
      <c r="BG748" s="7">
        <f t="shared" si="148"/>
        <v>15.10206639268373</v>
      </c>
      <c r="BI748" s="10">
        <f t="shared" si="149"/>
        <v>-3.4809412245099276</v>
      </c>
      <c r="BJ748">
        <f t="shared" si="150"/>
        <v>31.433801086963115</v>
      </c>
    </row>
    <row r="749" spans="42:62" x14ac:dyDescent="0.25">
      <c r="AP749" s="1">
        <v>744</v>
      </c>
      <c r="AQ749" s="7">
        <f t="shared" si="139"/>
        <v>24527.47805693786</v>
      </c>
      <c r="AR749" s="7">
        <f t="shared" si="140"/>
        <v>-198458.59720963106</v>
      </c>
      <c r="AS749" s="7"/>
      <c r="AT749" s="7">
        <f t="shared" si="141"/>
        <v>958.1514118056657</v>
      </c>
      <c r="AU749" s="7">
        <f t="shared" si="142"/>
        <v>-2245.1390484264061</v>
      </c>
      <c r="AV749" s="7"/>
      <c r="AX749" s="7">
        <f t="shared" si="143"/>
        <v>-0.27018877100697297</v>
      </c>
      <c r="AY749" s="7">
        <f t="shared" si="144"/>
        <v>12.291103249659363</v>
      </c>
      <c r="BB749" s="7">
        <f t="shared" si="145"/>
        <v>-0.82431734391225087</v>
      </c>
      <c r="BC749" s="7">
        <f t="shared" si="146"/>
        <v>3.8591010464995987</v>
      </c>
      <c r="BF749" s="7">
        <f t="shared" si="147"/>
        <v>-2.3991996569308669</v>
      </c>
      <c r="BG749" s="7">
        <f t="shared" si="148"/>
        <v>14.906583035558134</v>
      </c>
      <c r="BI749" s="10">
        <f t="shared" si="149"/>
        <v>-3.4937057718500908</v>
      </c>
      <c r="BJ749">
        <f t="shared" si="150"/>
        <v>31.056787331717096</v>
      </c>
    </row>
    <row r="750" spans="42:62" x14ac:dyDescent="0.25">
      <c r="AP750" s="1">
        <v>745</v>
      </c>
      <c r="AQ750" s="7">
        <f t="shared" si="139"/>
        <v>25006.11704961921</v>
      </c>
      <c r="AR750" s="7">
        <f t="shared" si="140"/>
        <v>-199577.28463542779</v>
      </c>
      <c r="AS750" s="7"/>
      <c r="AT750" s="7">
        <f t="shared" si="141"/>
        <v>956.40455891974068</v>
      </c>
      <c r="AU750" s="7">
        <f t="shared" si="142"/>
        <v>-2229.6106547605477</v>
      </c>
      <c r="AV750" s="7"/>
      <c r="AX750" s="7">
        <f t="shared" si="143"/>
        <v>-0.29390372577820661</v>
      </c>
      <c r="AY750" s="7">
        <f t="shared" si="144"/>
        <v>12.15728375408557</v>
      </c>
      <c r="BB750" s="7">
        <f t="shared" si="145"/>
        <v>-0.81934602833937509</v>
      </c>
      <c r="BC750" s="7">
        <f t="shared" si="146"/>
        <v>3.8153994846271981</v>
      </c>
      <c r="BF750" s="7">
        <f t="shared" si="147"/>
        <v>-2.3923280251375978</v>
      </c>
      <c r="BG750" s="7">
        <f t="shared" si="148"/>
        <v>14.715979748627186</v>
      </c>
      <c r="BI750" s="10">
        <f t="shared" si="149"/>
        <v>-3.5055777792551797</v>
      </c>
      <c r="BJ750">
        <f t="shared" si="150"/>
        <v>30.688662987339953</v>
      </c>
    </row>
    <row r="751" spans="42:62" x14ac:dyDescent="0.25">
      <c r="AP751" s="1">
        <v>746</v>
      </c>
      <c r="AQ751" s="7">
        <f t="shared" si="139"/>
        <v>25483.881131856673</v>
      </c>
      <c r="AR751" s="7">
        <f t="shared" si="140"/>
        <v>-200688.25387993464</v>
      </c>
      <c r="AS751" s="7"/>
      <c r="AT751" s="7">
        <f t="shared" si="141"/>
        <v>954.65177003011308</v>
      </c>
      <c r="AU751" s="7">
        <f t="shared" si="142"/>
        <v>-2214.2663232668779</v>
      </c>
      <c r="AV751" s="7"/>
      <c r="AX751" s="7">
        <f t="shared" si="143"/>
        <v>-0.31678594101945973</v>
      </c>
      <c r="AY751" s="7">
        <f t="shared" si="144"/>
        <v>12.026356941151324</v>
      </c>
      <c r="BB751" s="7">
        <f t="shared" si="145"/>
        <v>-0.81445713952568477</v>
      </c>
      <c r="BC751" s="7">
        <f t="shared" si="146"/>
        <v>3.7726893201848495</v>
      </c>
      <c r="BF751" s="7">
        <f t="shared" si="147"/>
        <v>-2.385360256345737</v>
      </c>
      <c r="BG751" s="7">
        <f t="shared" si="148"/>
        <v>14.530084898295742</v>
      </c>
      <c r="BI751" s="10">
        <f t="shared" si="149"/>
        <v>-3.5166033368908813</v>
      </c>
      <c r="BJ751">
        <f t="shared" si="150"/>
        <v>30.329131159631917</v>
      </c>
    </row>
    <row r="752" spans="42:62" x14ac:dyDescent="0.25">
      <c r="AP752" s="1">
        <v>747</v>
      </c>
      <c r="AQ752" s="7">
        <f t="shared" si="139"/>
        <v>25960.767441454616</v>
      </c>
      <c r="AR752" s="7">
        <f t="shared" si="140"/>
        <v>-201791.59590017312</v>
      </c>
      <c r="AS752" s="7"/>
      <c r="AT752" s="7">
        <f t="shared" si="141"/>
        <v>952.8934683616676</v>
      </c>
      <c r="AU752" s="7">
        <f t="shared" si="142"/>
        <v>-2199.1017576870618</v>
      </c>
      <c r="AV752" s="7"/>
      <c r="AX752" s="7">
        <f t="shared" si="143"/>
        <v>-0.33886984043059959</v>
      </c>
      <c r="AY752" s="7">
        <f t="shared" si="144"/>
        <v>11.898234648934709</v>
      </c>
      <c r="BB752" s="7">
        <f t="shared" si="145"/>
        <v>-0.80964873398875215</v>
      </c>
      <c r="BC752" s="7">
        <f t="shared" si="146"/>
        <v>3.7309385163870856</v>
      </c>
      <c r="BF752" s="7">
        <f t="shared" si="147"/>
        <v>-2.3783074038966614</v>
      </c>
      <c r="BG752" s="7">
        <f t="shared" si="148"/>
        <v>14.348734615674729</v>
      </c>
      <c r="BI752" s="10">
        <f t="shared" si="149"/>
        <v>-3.5268259783160132</v>
      </c>
      <c r="BJ752">
        <f t="shared" si="150"/>
        <v>29.977907780996524</v>
      </c>
    </row>
    <row r="753" spans="42:62" x14ac:dyDescent="0.25">
      <c r="AP753" s="1">
        <v>748</v>
      </c>
      <c r="AQ753" s="7">
        <f t="shared" si="139"/>
        <v>26436.773322388162</v>
      </c>
      <c r="AR753" s="7">
        <f t="shared" si="140"/>
        <v>-202887.39954054402</v>
      </c>
      <c r="AS753" s="7"/>
      <c r="AT753" s="7">
        <f t="shared" si="141"/>
        <v>951.13005537250956</v>
      </c>
      <c r="AU753" s="7">
        <f t="shared" si="142"/>
        <v>-2184.1128037965636</v>
      </c>
      <c r="AV753" s="7"/>
      <c r="AX753" s="7">
        <f t="shared" si="143"/>
        <v>-0.36018816855269853</v>
      </c>
      <c r="AY753" s="7">
        <f t="shared" si="144"/>
        <v>11.772832183401785</v>
      </c>
      <c r="BB753" s="7">
        <f t="shared" si="145"/>
        <v>-0.80491893026259387</v>
      </c>
      <c r="BC753" s="7">
        <f t="shared" si="146"/>
        <v>3.6901163807164261</v>
      </c>
      <c r="BF753" s="7">
        <f t="shared" si="147"/>
        <v>-2.3711797419348852</v>
      </c>
      <c r="BG753" s="7">
        <f t="shared" si="148"/>
        <v>14.17177236946528</v>
      </c>
      <c r="BI753" s="10">
        <f t="shared" si="149"/>
        <v>-3.5362868407501775</v>
      </c>
      <c r="BJ753">
        <f t="shared" si="150"/>
        <v>29.634720933583491</v>
      </c>
    </row>
    <row r="754" spans="42:62" x14ac:dyDescent="0.25">
      <c r="AP754" s="1">
        <v>749</v>
      </c>
      <c r="AQ754" s="7">
        <f t="shared" si="139"/>
        <v>26911.896314219324</v>
      </c>
      <c r="AR754" s="7">
        <f t="shared" si="140"/>
        <v>-203975.75160232559</v>
      </c>
      <c r="AS754" s="7"/>
      <c r="AT754" s="7">
        <f t="shared" si="141"/>
        <v>949.36191195213451</v>
      </c>
      <c r="AU754" s="7">
        <f t="shared" si="142"/>
        <v>-2169.2954433297718</v>
      </c>
      <c r="AV754" s="7"/>
      <c r="AX754" s="7">
        <f t="shared" si="143"/>
        <v>-0.38077208621631653</v>
      </c>
      <c r="AY754" s="7">
        <f t="shared" si="144"/>
        <v>11.650068152226902</v>
      </c>
      <c r="BB754" s="7">
        <f t="shared" si="145"/>
        <v>-0.80026590640685313</v>
      </c>
      <c r="BC754" s="7">
        <f t="shared" si="146"/>
        <v>3.6501934958706723</v>
      </c>
      <c r="BF754" s="7">
        <f t="shared" si="147"/>
        <v>-2.363986821383536</v>
      </c>
      <c r="BG754" s="7">
        <f t="shared" si="148"/>
        <v>13.999048566408426</v>
      </c>
      <c r="BI754" s="10">
        <f t="shared" si="149"/>
        <v>-3.5450248140067058</v>
      </c>
      <c r="BJ754">
        <f t="shared" si="150"/>
        <v>29.299310214506001</v>
      </c>
    </row>
    <row r="755" spans="42:62" x14ac:dyDescent="0.25">
      <c r="AP755" s="1">
        <v>750</v>
      </c>
      <c r="AQ755" s="7">
        <f t="shared" si="139"/>
        <v>27386.134142093641</v>
      </c>
      <c r="AR755" s="7">
        <f t="shared" si="140"/>
        <v>-205056.73691021366</v>
      </c>
      <c r="AS755" s="7"/>
      <c r="AT755" s="7">
        <f t="shared" si="141"/>
        <v>947.58939954513119</v>
      </c>
      <c r="AU755" s="7">
        <f t="shared" si="142"/>
        <v>-2154.6457882225191</v>
      </c>
      <c r="AV755" s="7"/>
      <c r="AX755" s="7">
        <f t="shared" si="143"/>
        <v>-0.40065125978468735</v>
      </c>
      <c r="AY755" s="7">
        <f t="shared" si="144"/>
        <v>11.529864307969373</v>
      </c>
      <c r="BB755" s="7">
        <f t="shared" si="145"/>
        <v>-0.79568789763795889</v>
      </c>
      <c r="BC755" s="7">
        <f t="shared" si="146"/>
        <v>3.6111416548952331</v>
      </c>
      <c r="BF755" s="7">
        <f t="shared" si="147"/>
        <v>-2.3567375215642672</v>
      </c>
      <c r="BG755" s="7">
        <f t="shared" si="148"/>
        <v>13.830420177263337</v>
      </c>
      <c r="BI755" s="10">
        <f t="shared" si="149"/>
        <v>-3.5530766789869133</v>
      </c>
      <c r="BJ755">
        <f t="shared" si="150"/>
        <v>28.971426140127942</v>
      </c>
    </row>
    <row r="756" spans="42:62" x14ac:dyDescent="0.25">
      <c r="AP756" s="1">
        <v>751</v>
      </c>
      <c r="AQ756" s="7">
        <f t="shared" si="139"/>
        <v>27859.484707281335</v>
      </c>
      <c r="AR756" s="7">
        <f t="shared" si="140"/>
        <v>-206130.4383760574</v>
      </c>
      <c r="AS756" s="7"/>
      <c r="AT756" s="7">
        <f t="shared" si="141"/>
        <v>945.81286120563777</v>
      </c>
      <c r="AU756" s="7">
        <f t="shared" si="142"/>
        <v>-2140.1600751524552</v>
      </c>
      <c r="AV756" s="7"/>
      <c r="AX756" s="7">
        <f t="shared" si="143"/>
        <v>-0.41985394464584425</v>
      </c>
      <c r="AY756" s="7">
        <f t="shared" si="144"/>
        <v>11.412145400004784</v>
      </c>
      <c r="BB756" s="7">
        <f t="shared" si="145"/>
        <v>-0.79118319407487769</v>
      </c>
      <c r="BC756" s="7">
        <f t="shared" si="146"/>
        <v>3.5729338002077751</v>
      </c>
      <c r="BF756" s="7">
        <f t="shared" si="147"/>
        <v>-2.3494400978327303</v>
      </c>
      <c r="BG756" s="7">
        <f t="shared" si="148"/>
        <v>13.665750386449366</v>
      </c>
      <c r="BI756" s="10">
        <f t="shared" si="149"/>
        <v>-3.5604772365534521</v>
      </c>
      <c r="BJ756">
        <f t="shared" si="150"/>
        <v>28.650829586661928</v>
      </c>
    </row>
    <row r="757" spans="42:62" x14ac:dyDescent="0.25">
      <c r="AP757" s="1">
        <v>752</v>
      </c>
      <c r="AQ757" s="7">
        <f t="shared" si="139"/>
        <v>28331.946078229586</v>
      </c>
      <c r="AR757" s="7">
        <f t="shared" si="140"/>
        <v>-207196.9370599353</v>
      </c>
      <c r="AS757" s="7"/>
      <c r="AT757" s="7">
        <f t="shared" si="141"/>
        <v>944.03262258736106</v>
      </c>
      <c r="AU757" s="7">
        <f t="shared" si="142"/>
        <v>-2125.8346603591244</v>
      </c>
      <c r="AV757" s="7"/>
      <c r="AX757" s="7">
        <f t="shared" si="143"/>
        <v>-0.43840706337072388</v>
      </c>
      <c r="AY757" s="7">
        <f t="shared" si="144"/>
        <v>11.296839034649087</v>
      </c>
      <c r="BB757" s="7">
        <f t="shared" si="145"/>
        <v>-0.78675013859301379</v>
      </c>
      <c r="BC757" s="7">
        <f t="shared" si="146"/>
        <v>3.5355439662474599</v>
      </c>
      <c r="BF757" s="7">
        <f t="shared" si="147"/>
        <v>-2.3421022255656321</v>
      </c>
      <c r="BG757" s="7">
        <f t="shared" si="148"/>
        <v>13.504908263636596</v>
      </c>
      <c r="BI757" s="10">
        <f t="shared" si="149"/>
        <v>-3.5672594275293696</v>
      </c>
      <c r="BJ757">
        <f t="shared" si="150"/>
        <v>28.337291264533143</v>
      </c>
    </row>
    <row r="758" spans="42:62" x14ac:dyDescent="0.25">
      <c r="AP758" s="1">
        <v>753</v>
      </c>
      <c r="AQ758" s="7">
        <f t="shared" si="139"/>
        <v>28803.516482094823</v>
      </c>
      <c r="AR758" s="7">
        <f t="shared" si="140"/>
        <v>-208256.31222870681</v>
      </c>
      <c r="AS758" s="7"/>
      <c r="AT758" s="7">
        <f t="shared" si="141"/>
        <v>942.24899287359642</v>
      </c>
      <c r="AU758" s="7">
        <f t="shared" si="142"/>
        <v>-2111.6660147268581</v>
      </c>
      <c r="AV758" s="7"/>
      <c r="AX758" s="7">
        <f t="shared" si="143"/>
        <v>-0.45633627892079509</v>
      </c>
      <c r="AY758" s="7">
        <f t="shared" si="144"/>
        <v>11.183875542957246</v>
      </c>
      <c r="BB758" s="7">
        <f t="shared" si="145"/>
        <v>-0.78238712478009254</v>
      </c>
      <c r="BC758" s="7">
        <f t="shared" si="146"/>
        <v>3.4989472255011247</v>
      </c>
      <c r="BF758" s="7">
        <f t="shared" si="147"/>
        <v>-2.3347310408049622</v>
      </c>
      <c r="BG758" s="7">
        <f t="shared" si="148"/>
        <v>13.347768455712336</v>
      </c>
      <c r="BI758" s="10">
        <f t="shared" si="149"/>
        <v>-3.5734544445058498</v>
      </c>
      <c r="BJ758">
        <f t="shared" si="150"/>
        <v>28.030591224170706</v>
      </c>
    </row>
    <row r="759" spans="42:62" x14ac:dyDescent="0.25">
      <c r="AP759" s="1">
        <v>754</v>
      </c>
      <c r="AQ759" s="7">
        <f t="shared" si="139"/>
        <v>29274.194296726058</v>
      </c>
      <c r="AR759" s="7">
        <f t="shared" si="140"/>
        <v>-209308.64141216723</v>
      </c>
      <c r="AS759" s="7"/>
      <c r="AT759" s="7">
        <f t="shared" si="141"/>
        <v>940.4622656513435</v>
      </c>
      <c r="AU759" s="7">
        <f t="shared" si="142"/>
        <v>-2097.6507191147725</v>
      </c>
      <c r="AV759" s="7"/>
      <c r="AX759" s="7">
        <f t="shared" si="143"/>
        <v>-0.47366606325810234</v>
      </c>
      <c r="AY759" s="7">
        <f t="shared" si="144"/>
        <v>11.073187855713979</v>
      </c>
      <c r="BB759" s="7">
        <f t="shared" si="145"/>
        <v>-0.77809259498812955</v>
      </c>
      <c r="BC759" s="7">
        <f t="shared" si="146"/>
        <v>3.46311963767721</v>
      </c>
      <c r="BF759" s="7">
        <f t="shared" si="147"/>
        <v>-2.3273331778366311</v>
      </c>
      <c r="BG759" s="7">
        <f t="shared" si="148"/>
        <v>13.194210897675125</v>
      </c>
      <c r="BI759" s="10">
        <f t="shared" si="149"/>
        <v>-3.579091836082863</v>
      </c>
      <c r="BJ759">
        <f t="shared" si="150"/>
        <v>27.730518391066315</v>
      </c>
    </row>
    <row r="760" spans="42:62" x14ac:dyDescent="0.25">
      <c r="AP760" s="1">
        <v>755</v>
      </c>
      <c r="AQ760" s="7">
        <f t="shared" si="139"/>
        <v>29743.97804307222</v>
      </c>
      <c r="AR760" s="7">
        <f t="shared" si="140"/>
        <v>-210354.00045692571</v>
      </c>
      <c r="AS760" s="7"/>
      <c r="AT760" s="7">
        <f t="shared" si="141"/>
        <v>938.67271973330207</v>
      </c>
      <c r="AU760" s="7">
        <f t="shared" si="142"/>
        <v>-2083.7854599192392</v>
      </c>
      <c r="AV760" s="7"/>
      <c r="AX760" s="7">
        <f t="shared" si="143"/>
        <v>-0.49041976168262963</v>
      </c>
      <c r="AY760" s="7">
        <f t="shared" si="144"/>
        <v>10.964711385167181</v>
      </c>
      <c r="BB760" s="7">
        <f t="shared" si="145"/>
        <v>-0.77386503847628074</v>
      </c>
      <c r="BC760" s="7">
        <f t="shared" si="146"/>
        <v>3.4280382018170714</v>
      </c>
      <c r="BF760" s="7">
        <f t="shared" si="147"/>
        <v>-2.3199148039561623</v>
      </c>
      <c r="BG760" s="7">
        <f t="shared" si="148"/>
        <v>13.044120541126341</v>
      </c>
      <c r="BI760" s="10">
        <f t="shared" si="149"/>
        <v>-3.5841996041150725</v>
      </c>
      <c r="BJ760">
        <f t="shared" si="150"/>
        <v>27.436870128110595</v>
      </c>
    </row>
    <row r="761" spans="42:62" x14ac:dyDescent="0.25">
      <c r="AP761" s="1">
        <v>756</v>
      </c>
      <c r="AQ761" s="7">
        <f t="shared" si="139"/>
        <v>30212.866377988357</v>
      </c>
      <c r="AR761" s="7">
        <f t="shared" si="140"/>
        <v>-211392.46357811932</v>
      </c>
      <c r="AS761" s="7"/>
      <c r="AT761" s="7">
        <f t="shared" si="141"/>
        <v>936.8806199312445</v>
      </c>
      <c r="AU761" s="7">
        <f t="shared" si="142"/>
        <v>-2070.0670248551837</v>
      </c>
      <c r="AV761" s="7"/>
      <c r="AX761" s="7">
        <f t="shared" si="143"/>
        <v>-0.50661965319647706</v>
      </c>
      <c r="AY761" s="7">
        <f t="shared" si="144"/>
        <v>10.858383913088316</v>
      </c>
      <c r="BB761" s="7">
        <f t="shared" si="145"/>
        <v>-0.76970298963940109</v>
      </c>
      <c r="BC761" s="7">
        <f t="shared" si="146"/>
        <v>3.3936808111478602</v>
      </c>
      <c r="BF761" s="7">
        <f t="shared" si="147"/>
        <v>-2.3124816516507369</v>
      </c>
      <c r="BG761" s="7">
        <f t="shared" si="148"/>
        <v>12.89738709913088</v>
      </c>
      <c r="BI761" s="10">
        <f t="shared" si="149"/>
        <v>-3.5888042944866152</v>
      </c>
      <c r="BJ761">
        <f t="shared" si="150"/>
        <v>27.149451823367059</v>
      </c>
    </row>
    <row r="762" spans="42:62" x14ac:dyDescent="0.25">
      <c r="AP762" s="1">
        <v>757</v>
      </c>
      <c r="AQ762" s="7">
        <f t="shared" si="139"/>
        <v>30680.858087417168</v>
      </c>
      <c r="AR762" s="7">
        <f t="shared" si="140"/>
        <v>-212424.10340906898</v>
      </c>
      <c r="AS762" s="7"/>
      <c r="AT762" s="7">
        <f t="shared" si="141"/>
        <v>935.08621778400118</v>
      </c>
      <c r="AU762" s="7">
        <f t="shared" si="142"/>
        <v>-2056.4922989435004</v>
      </c>
      <c r="AV762" s="7"/>
      <c r="AX762" s="7">
        <f t="shared" si="143"/>
        <v>-0.52228700717094378</v>
      </c>
      <c r="AY762" s="7">
        <f t="shared" si="144"/>
        <v>10.754145484770874</v>
      </c>
      <c r="BB762" s="7">
        <f t="shared" si="145"/>
        <v>-0.76560502631775718</v>
      </c>
      <c r="BC762" s="7">
        <f t="shared" si="146"/>
        <v>3.3600262104970642</v>
      </c>
      <c r="BF762" s="7">
        <f t="shared" si="147"/>
        <v>-2.3050390484070622</v>
      </c>
      <c r="BG762" s="7">
        <f t="shared" si="148"/>
        <v>12.753904806317928</v>
      </c>
      <c r="BI762" s="10">
        <f t="shared" si="149"/>
        <v>-3.5929310818957632</v>
      </c>
      <c r="BJ762">
        <f t="shared" si="150"/>
        <v>26.868076501585865</v>
      </c>
    </row>
    <row r="763" spans="42:62" x14ac:dyDescent="0.25">
      <c r="AP763" s="1">
        <v>758</v>
      </c>
      <c r="AQ763" s="7">
        <f t="shared" si="139"/>
        <v>31147.952079923933</v>
      </c>
      <c r="AR763" s="7">
        <f t="shared" si="140"/>
        <v>-213448.99104897803</v>
      </c>
      <c r="AS763" s="7"/>
      <c r="AT763" s="7">
        <f t="shared" si="141"/>
        <v>933.28975224305327</v>
      </c>
      <c r="AU763" s="7">
        <f t="shared" si="142"/>
        <v>-2043.0582606927073</v>
      </c>
      <c r="AV763" s="7"/>
      <c r="AX763" s="7">
        <f t="shared" si="143"/>
        <v>-0.53744213657135287</v>
      </c>
      <c r="AY763" s="7">
        <f t="shared" si="144"/>
        <v>10.651938308606162</v>
      </c>
      <c r="BB763" s="7">
        <f t="shared" si="145"/>
        <v>-0.76156976818333699</v>
      </c>
      <c r="BC763" s="7">
        <f t="shared" si="146"/>
        <v>3.3270539561009111</v>
      </c>
      <c r="BF763" s="7">
        <f t="shared" si="147"/>
        <v>-2.297591944335915</v>
      </c>
      <c r="BG763" s="7">
        <f t="shared" si="148"/>
        <v>12.613572193179733</v>
      </c>
      <c r="BI763" s="10">
        <f t="shared" si="149"/>
        <v>-3.5966038490906049</v>
      </c>
      <c r="BJ763">
        <f t="shared" si="150"/>
        <v>26.592564457886809</v>
      </c>
    </row>
    <row r="764" spans="42:62" x14ac:dyDescent="0.25">
      <c r="AP764" s="1">
        <v>759</v>
      </c>
      <c r="AQ764" s="7">
        <f t="shared" si="139"/>
        <v>31614.147380564322</v>
      </c>
      <c r="AR764" s="7">
        <f t="shared" si="140"/>
        <v>-214467.19610876715</v>
      </c>
      <c r="AS764" s="7"/>
      <c r="AT764" s="7">
        <f t="shared" si="141"/>
        <v>931.49145031850799</v>
      </c>
      <c r="AU764" s="7">
        <f t="shared" si="142"/>
        <v>-2029.7619784637639</v>
      </c>
      <c r="AV764" s="7"/>
      <c r="AX764" s="7">
        <f t="shared" si="143"/>
        <v>-0.55210444797496039</v>
      </c>
      <c r="AY764" s="7">
        <f t="shared" si="144"/>
        <v>10.5517066609005</v>
      </c>
      <c r="BB764" s="7">
        <f t="shared" si="145"/>
        <v>-0.75759587519878979</v>
      </c>
      <c r="BC764" s="7">
        <f t="shared" si="146"/>
        <v>3.2947443776524614</v>
      </c>
      <c r="BF764" s="7">
        <f t="shared" si="147"/>
        <v>-2.2901449377870895</v>
      </c>
      <c r="BG764" s="7">
        <f t="shared" si="148"/>
        <v>12.476291873604108</v>
      </c>
      <c r="BI764" s="10">
        <f t="shared" si="149"/>
        <v>-3.5998452609608398</v>
      </c>
      <c r="BJ764">
        <f t="shared" si="150"/>
        <v>26.322742912157068</v>
      </c>
    </row>
    <row r="765" spans="42:62" x14ac:dyDescent="0.25">
      <c r="AP765" s="1">
        <v>760</v>
      </c>
      <c r="AQ765" s="7">
        <f t="shared" si="139"/>
        <v>32079.443125065955</v>
      </c>
      <c r="AR765" s="7">
        <f t="shared" si="140"/>
        <v>-215478.78675513499</v>
      </c>
      <c r="AS765" s="7"/>
      <c r="AT765" s="7">
        <f t="shared" si="141"/>
        <v>929.69152768802758</v>
      </c>
      <c r="AU765" s="7">
        <f t="shared" si="142"/>
        <v>-2016.6006070076853</v>
      </c>
      <c r="AV765" s="7"/>
      <c r="AX765" s="7">
        <f t="shared" si="143"/>
        <v>-0.56629248859932013</v>
      </c>
      <c r="AY765" s="7">
        <f t="shared" si="144"/>
        <v>10.453396795618676</v>
      </c>
      <c r="BB765" s="7">
        <f t="shared" si="145"/>
        <v>-0.75368204614502199</v>
      </c>
      <c r="BC765" s="7">
        <f t="shared" si="146"/>
        <v>3.263078542445379</v>
      </c>
      <c r="BF765" s="7">
        <f t="shared" si="147"/>
        <v>-2.2827022991140704</v>
      </c>
      <c r="BG765" s="7">
        <f t="shared" si="148"/>
        <v>12.341970344753717</v>
      </c>
      <c r="BI765" s="10">
        <f t="shared" si="149"/>
        <v>-3.6026768338584123</v>
      </c>
      <c r="BJ765">
        <f t="shared" si="150"/>
        <v>26.058445682817773</v>
      </c>
    </row>
    <row r="766" spans="42:62" x14ac:dyDescent="0.25">
      <c r="AP766" s="1">
        <v>761</v>
      </c>
      <c r="AQ766" s="7">
        <f t="shared" si="139"/>
        <v>32543.838554305734</v>
      </c>
      <c r="AR766" s="7">
        <f t="shared" si="140"/>
        <v>-216483.82975292849</v>
      </c>
      <c r="AS766" s="7"/>
      <c r="AT766" s="7">
        <f t="shared" si="141"/>
        <v>927.89018927109839</v>
      </c>
      <c r="AU766" s="7">
        <f t="shared" si="142"/>
        <v>-2003.5713841662764</v>
      </c>
      <c r="AV766" s="7"/>
      <c r="AX766" s="7">
        <f t="shared" si="143"/>
        <v>-0.5800239905422605</v>
      </c>
      <c r="AY766" s="7">
        <f t="shared" si="144"/>
        <v>10.356956858762949</v>
      </c>
      <c r="BB766" s="7">
        <f t="shared" si="145"/>
        <v>-0.74982701721391665</v>
      </c>
      <c r="BC766" s="7">
        <f t="shared" si="146"/>
        <v>3.2320382214806154</v>
      </c>
      <c r="BF766" s="7">
        <f t="shared" si="147"/>
        <v>-2.2752679927334074</v>
      </c>
      <c r="BG766" s="7">
        <f t="shared" si="148"/>
        <v>12.21051779846869</v>
      </c>
      <c r="BI766" s="10">
        <f t="shared" si="149"/>
        <v>-3.6051190004895846</v>
      </c>
      <c r="BJ766">
        <f t="shared" si="150"/>
        <v>25.799512878712253</v>
      </c>
    </row>
    <row r="767" spans="42:62" x14ac:dyDescent="0.25">
      <c r="AP767" s="1">
        <v>762</v>
      </c>
      <c r="AQ767" s="7">
        <f t="shared" si="139"/>
        <v>33007.33300906622</v>
      </c>
      <c r="AR767" s="7">
        <f t="shared" si="140"/>
        <v>-217482.39050590177</v>
      </c>
      <c r="AS767" s="7"/>
      <c r="AT767" s="7">
        <f t="shared" si="141"/>
        <v>926.0876297708536</v>
      </c>
      <c r="AU767" s="7">
        <f t="shared" si="142"/>
        <v>-1990.6716277269202</v>
      </c>
      <c r="AV767" s="7"/>
      <c r="AX767" s="7">
        <f t="shared" si="143"/>
        <v>-0.59331591241944848</v>
      </c>
      <c r="AY767" s="7">
        <f t="shared" si="144"/>
        <v>10.262336807113122</v>
      </c>
      <c r="BB767" s="7">
        <f t="shared" si="145"/>
        <v>-0.74602956066270587</v>
      </c>
      <c r="BC767" s="7">
        <f t="shared" si="146"/>
        <v>3.2016058574120967</v>
      </c>
      <c r="BF767" s="7">
        <f t="shared" si="147"/>
        <v>-2.2678456976118246</v>
      </c>
      <c r="BG767" s="7">
        <f t="shared" si="148"/>
        <v>12.081847943433178</v>
      </c>
      <c r="BI767" s="10">
        <f t="shared" si="149"/>
        <v>-3.6071911706939788</v>
      </c>
      <c r="BJ767">
        <f t="shared" si="150"/>
        <v>25.545790607958399</v>
      </c>
    </row>
    <row r="768" spans="42:62" x14ac:dyDescent="0.25">
      <c r="AP768" s="1">
        <v>763</v>
      </c>
      <c r="AQ768" s="7">
        <f t="shared" si="139"/>
        <v>33469.925925055315</v>
      </c>
      <c r="AR768" s="7">
        <f t="shared" si="140"/>
        <v>-218474.53309593923</v>
      </c>
      <c r="AS768" s="7"/>
      <c r="AT768" s="7">
        <f t="shared" si="141"/>
        <v>924.28403418550658</v>
      </c>
      <c r="AU768" s="7">
        <f t="shared" si="142"/>
        <v>-1977.8987324229411</v>
      </c>
      <c r="AV768" s="7"/>
      <c r="AX768" s="7">
        <f t="shared" si="143"/>
        <v>-0.60618447857185886</v>
      </c>
      <c r="AY768" s="7">
        <f t="shared" si="144"/>
        <v>10.169488331074</v>
      </c>
      <c r="BB768" s="7">
        <f t="shared" si="145"/>
        <v>-0.74228848352685162</v>
      </c>
      <c r="BC768" s="7">
        <f t="shared" si="146"/>
        <v>3.1717645342168059</v>
      </c>
      <c r="BF768" s="7">
        <f t="shared" si="147"/>
        <v>-2.2604388263025763</v>
      </c>
      <c r="BG768" s="7">
        <f t="shared" si="148"/>
        <v>11.955877837401585</v>
      </c>
      <c r="BI768" s="10">
        <f t="shared" si="149"/>
        <v>-3.6089117884012869</v>
      </c>
      <c r="BJ768">
        <f t="shared" si="150"/>
        <v>25.297130702692392</v>
      </c>
    </row>
    <row r="769" spans="42:62" x14ac:dyDescent="0.25">
      <c r="AP769" s="1">
        <v>764</v>
      </c>
      <c r="AQ769" s="7">
        <f t="shared" si="139"/>
        <v>33931.616828174519</v>
      </c>
      <c r="AR769" s="7">
        <f t="shared" si="140"/>
        <v>-219460.32032081287</v>
      </c>
      <c r="AS769" s="7"/>
      <c r="AT769" s="7">
        <f t="shared" si="141"/>
        <v>922.47957829130598</v>
      </c>
      <c r="AU769" s="7">
        <f t="shared" si="142"/>
        <v>-1965.2501670715949</v>
      </c>
      <c r="AV769" s="7"/>
      <c r="AX769" s="7">
        <f t="shared" si="143"/>
        <v>-0.6186452160027206</v>
      </c>
      <c r="AY769" s="7">
        <f t="shared" si="144"/>
        <v>10.078364781391549</v>
      </c>
      <c r="BB769" s="7">
        <f t="shared" si="145"/>
        <v>-0.73860262638839014</v>
      </c>
      <c r="BC769" s="7">
        <f t="shared" si="146"/>
        <v>3.1424979484823319</v>
      </c>
      <c r="BF769" s="7">
        <f t="shared" si="147"/>
        <v>-2.2530505426423484</v>
      </c>
      <c r="BG769" s="7">
        <f t="shared" si="148"/>
        <v>11.832527728831955</v>
      </c>
      <c r="BI769" s="10">
        <f t="shared" si="149"/>
        <v>-3.6102983850334591</v>
      </c>
      <c r="BJ769">
        <f t="shared" si="150"/>
        <v>25.053390458705834</v>
      </c>
    </row>
    <row r="770" spans="42:62" x14ac:dyDescent="0.25">
      <c r="AP770" s="1">
        <v>765</v>
      </c>
      <c r="AQ770" s="7">
        <f t="shared" si="139"/>
        <v>34392.40533002204</v>
      </c>
      <c r="AR770" s="7">
        <f t="shared" si="140"/>
        <v>-220439.81373054133</v>
      </c>
      <c r="AS770" s="7"/>
      <c r="AT770" s="7">
        <f t="shared" si="141"/>
        <v>920.67442909878923</v>
      </c>
      <c r="AU770" s="7">
        <f t="shared" si="142"/>
        <v>-1952.7234718422419</v>
      </c>
      <c r="AV770" s="7"/>
      <c r="AX770" s="7">
        <f t="shared" si="143"/>
        <v>-0.63071298919186547</v>
      </c>
      <c r="AY770" s="7">
        <f t="shared" si="144"/>
        <v>9.9889210995148208</v>
      </c>
      <c r="BB770" s="7">
        <f t="shared" si="145"/>
        <v>-0.73497086219700247</v>
      </c>
      <c r="BC770" s="7">
        <f t="shared" si="146"/>
        <v>3.1137903822129789</v>
      </c>
      <c r="BF770" s="7">
        <f t="shared" si="147"/>
        <v>-2.2456837782109251</v>
      </c>
      <c r="BG770" s="7">
        <f t="shared" si="148"/>
        <v>11.711720907322736</v>
      </c>
      <c r="BI770" s="10">
        <f t="shared" si="149"/>
        <v>-3.6113676295997932</v>
      </c>
      <c r="BJ770">
        <f t="shared" si="150"/>
        <v>24.814432389050538</v>
      </c>
    </row>
    <row r="771" spans="42:62" x14ac:dyDescent="0.25">
      <c r="AP771" s="1">
        <v>766</v>
      </c>
      <c r="AQ771" s="7">
        <f t="shared" si="139"/>
        <v>34852.291123617732</v>
      </c>
      <c r="AR771" s="7">
        <f t="shared" si="140"/>
        <v>-221413.07366241381</v>
      </c>
      <c r="AS771" s="7"/>
      <c r="AT771" s="7">
        <f t="shared" si="141"/>
        <v>918.86874528398937</v>
      </c>
      <c r="AU771" s="7">
        <f t="shared" si="142"/>
        <v>-1940.3162556477166</v>
      </c>
      <c r="AV771" s="7"/>
      <c r="AX771" s="7">
        <f t="shared" si="143"/>
        <v>-0.64240203292478937</v>
      </c>
      <c r="AY771" s="7">
        <f t="shared" si="144"/>
        <v>9.9011137513965668</v>
      </c>
      <c r="BB771" s="7">
        <f t="shared" si="145"/>
        <v>-0.73139209514102732</v>
      </c>
      <c r="BC771" s="7">
        <f t="shared" si="146"/>
        <v>3.0856266770614842</v>
      </c>
      <c r="BF771" s="7">
        <f t="shared" si="147"/>
        <v>-2.2383412476470341</v>
      </c>
      <c r="BG771" s="7">
        <f t="shared" si="148"/>
        <v>11.593383562291029</v>
      </c>
      <c r="BI771" s="10">
        <f t="shared" si="149"/>
        <v>-3.6121353757128509</v>
      </c>
      <c r="BJ771">
        <f t="shared" si="150"/>
        <v>24.58012399074908</v>
      </c>
    </row>
    <row r="772" spans="42:62" x14ac:dyDescent="0.25">
      <c r="AP772" s="1">
        <v>767</v>
      </c>
      <c r="AQ772" s="7">
        <f t="shared" si="139"/>
        <v>35311.273979337762</v>
      </c>
      <c r="AR772" s="7">
        <f t="shared" si="140"/>
        <v>-222380.15927473881</v>
      </c>
      <c r="AS772" s="7"/>
      <c r="AT772" s="7">
        <f t="shared" si="141"/>
        <v>917.06267759613297</v>
      </c>
      <c r="AU772" s="7">
        <f t="shared" si="142"/>
        <v>-1928.026193652342</v>
      </c>
      <c r="AV772" s="7"/>
      <c r="AX772" s="7">
        <f t="shared" si="143"/>
        <v>-0.65372598326373876</v>
      </c>
      <c r="AY772" s="7">
        <f t="shared" si="144"/>
        <v>9.8149006645365571</v>
      </c>
      <c r="BB772" s="7">
        <f t="shared" si="145"/>
        <v>-0.72786525956609094</v>
      </c>
      <c r="BC772" s="7">
        <f t="shared" si="146"/>
        <v>3.0579922099010464</v>
      </c>
      <c r="BF772" s="7">
        <f t="shared" si="147"/>
        <v>-2.23102546290662</v>
      </c>
      <c r="BG772" s="7">
        <f t="shared" si="148"/>
        <v>11.477444649373336</v>
      </c>
      <c r="BI772" s="10">
        <f t="shared" si="149"/>
        <v>-3.6126167057364498</v>
      </c>
      <c r="BJ772">
        <f t="shared" si="150"/>
        <v>24.350337523810939</v>
      </c>
    </row>
    <row r="773" spans="42:62" x14ac:dyDescent="0.25">
      <c r="AP773" s="1">
        <v>768</v>
      </c>
      <c r="AQ773" s="7">
        <f t="shared" si="139"/>
        <v>35769.353741047613</v>
      </c>
      <c r="AR773" s="7">
        <f t="shared" si="140"/>
        <v>-223341.12857937452</v>
      </c>
      <c r="AS773" s="7"/>
      <c r="AT773" s="7">
        <f t="shared" si="141"/>
        <v>915.25636924326477</v>
      </c>
      <c r="AU773" s="7">
        <f t="shared" si="142"/>
        <v>-1915.8510248904365</v>
      </c>
      <c r="AV773" s="7"/>
      <c r="AX773" s="7">
        <f t="shared" si="143"/>
        <v>-0.66469790677921869</v>
      </c>
      <c r="AY773" s="7">
        <f t="shared" si="144"/>
        <v>9.7302411680866516</v>
      </c>
      <c r="BB773" s="7">
        <f t="shared" si="145"/>
        <v>-0.724389318938785</v>
      </c>
      <c r="BC773" s="7">
        <f t="shared" si="146"/>
        <v>3.0308728696565557</v>
      </c>
      <c r="BF773" s="7">
        <f t="shared" si="147"/>
        <v>-2.2237387465418696</v>
      </c>
      <c r="BG773" s="7">
        <f t="shared" si="148"/>
        <v>11.363835764062122</v>
      </c>
      <c r="BI773" s="10">
        <f t="shared" si="149"/>
        <v>-3.6128259722598735</v>
      </c>
      <c r="BJ773">
        <f t="shared" si="150"/>
        <v>24.124949801805329</v>
      </c>
    </row>
    <row r="774" spans="42:62" x14ac:dyDescent="0.25">
      <c r="AP774" s="1">
        <v>769</v>
      </c>
      <c r="AQ774" s="7">
        <f t="shared" ref="AQ774:AQ837" si="151">AQ773+(AT773*$R$7)+((1/2)*(BI773)*$R$7^2)</f>
        <v>36226.53032242271</v>
      </c>
      <c r="AR774" s="7">
        <f t="shared" ref="AR774:AR837" si="152">AR773+(AU773*$R$7)+((1/2)*(BJ773)*$R$7^2)</f>
        <v>-224296.03847309452</v>
      </c>
      <c r="AS774" s="7"/>
      <c r="AT774" s="7">
        <f t="shared" ref="AT774:AT837" si="153">AT773+(BI773)*$R$7</f>
        <v>913.44995625713489</v>
      </c>
      <c r="AU774" s="7">
        <f t="shared" ref="AU774:AU837" si="154">AU773+(BJ773)*$R$7</f>
        <v>-1903.7885499895337</v>
      </c>
      <c r="AV774" s="7"/>
      <c r="AX774" s="7">
        <f t="shared" ref="AX774:AX837" si="155">(($R$23-AQ774)/(($R$23-AQ774)^2+($S$23-AR774)^2+$R$28^2)^(3/2))*$R$27</f>
        <v>-0.67533032815173033</v>
      </c>
      <c r="AY774" s="7">
        <f t="shared" ref="AY774:AY837" si="156">(($S$23-AR774)/(($R$23-AQ774)^2+($S$23-AR774)^2+$R$28^2)^(3/2))*$R$27</f>
        <v>9.647095935844769</v>
      </c>
      <c r="BB774" s="7">
        <f t="shared" ref="BB774:BB837" si="157">(($R$32-AQ774)/(($R$32-AQ774)^2+($S$32-AR774)^2+$R$37^2)^(3/2))*$R$36</f>
        <v>-0.72096326485338502</v>
      </c>
      <c r="BC774" s="7">
        <f t="shared" ref="BC774:BC837" si="158">(($S$32-AR774)/(($R$32-AQ774)^2+($S$32-AR774)^2+$R$37^2)^(3/2))*$R$36</f>
        <v>3.0042550353211639</v>
      </c>
      <c r="BF774" s="7">
        <f t="shared" ref="BF774:BF837" si="159">(($R$41-AQ774)/(($R$41-AQ774)^2+($S$41-AR774)^2+$R$46^2)^(3/2))*$R$45</f>
        <v>-2.2164832440742965</v>
      </c>
      <c r="BG774" s="7">
        <f t="shared" ref="BG774:BG837" si="160">(($S$41-AR774)/(($R$41-AQ774)^2+($S$41-AR774)^2+$R$46^2)^(3/2))*$R$45</f>
        <v>11.252491022132705</v>
      </c>
      <c r="BI774" s="10">
        <f t="shared" ref="BI774:BI837" si="161">BF774+BB774+AX774</f>
        <v>-3.6127768370794122</v>
      </c>
      <c r="BJ774">
        <f t="shared" ref="BJ774:BJ837" si="162">BG774+BC774+AY774</f>
        <v>23.903841993298638</v>
      </c>
    </row>
    <row r="775" spans="42:62" x14ac:dyDescent="0.25">
      <c r="AP775" s="1">
        <v>770</v>
      </c>
      <c r="AQ775" s="7">
        <f t="shared" si="151"/>
        <v>36682.80370344664</v>
      </c>
      <c r="AR775" s="7">
        <f t="shared" si="152"/>
        <v>-225244.94476784012</v>
      </c>
      <c r="AS775" s="7"/>
      <c r="AT775" s="7">
        <f t="shared" si="153"/>
        <v>911.64356783859523</v>
      </c>
      <c r="AU775" s="7">
        <f t="shared" si="154"/>
        <v>-1891.8366289928845</v>
      </c>
      <c r="AV775" s="7"/>
      <c r="AX775" s="7">
        <f t="shared" si="155"/>
        <v>-0.68563525624613819</v>
      </c>
      <c r="AY775" s="7">
        <f t="shared" si="156"/>
        <v>9.565426931980431</v>
      </c>
      <c r="BB775" s="7">
        <f t="shared" si="157"/>
        <v>-0.71758611607937073</v>
      </c>
      <c r="BC775" s="7">
        <f t="shared" si="158"/>
        <v>2.9781255550878112</v>
      </c>
      <c r="BF775" s="7">
        <f t="shared" si="159"/>
        <v>-2.2092609355278023</v>
      </c>
      <c r="BG775" s="7">
        <f t="shared" si="160"/>
        <v>11.143346946438308</v>
      </c>
      <c r="BI775" s="10">
        <f t="shared" si="161"/>
        <v>-3.6124823078533113</v>
      </c>
      <c r="BJ775">
        <f t="shared" si="162"/>
        <v>23.68689943350655</v>
      </c>
    </row>
    <row r="776" spans="42:62" x14ac:dyDescent="0.25">
      <c r="AP776" s="1">
        <v>771</v>
      </c>
      <c r="AQ776" s="7">
        <f t="shared" si="151"/>
        <v>37138.173927077456</v>
      </c>
      <c r="AR776" s="7">
        <f t="shared" si="152"/>
        <v>-226187.90221990735</v>
      </c>
      <c r="AS776" s="7"/>
      <c r="AT776" s="7">
        <f t="shared" si="153"/>
        <v>909.8373266846686</v>
      </c>
      <c r="AU776" s="7">
        <f t="shared" si="154"/>
        <v>-1879.9931792761313</v>
      </c>
      <c r="AV776" s="7"/>
      <c r="AX776" s="7">
        <f t="shared" si="155"/>
        <v>-0.69562420875357744</v>
      </c>
      <c r="AY776" s="7">
        <f t="shared" si="156"/>
        <v>9.4851973593389332</v>
      </c>
      <c r="BB776" s="7">
        <f t="shared" si="157"/>
        <v>-0.71425691764783428</v>
      </c>
      <c r="BC776" s="7">
        <f t="shared" si="158"/>
        <v>2.9524717265308627</v>
      </c>
      <c r="BF776" s="7">
        <f t="shared" si="159"/>
        <v>-2.2020736461836337</v>
      </c>
      <c r="BG776" s="7">
        <f t="shared" si="160"/>
        <v>11.036342359687021</v>
      </c>
      <c r="BI776" s="10">
        <f t="shared" si="161"/>
        <v>-3.6119547725850456</v>
      </c>
      <c r="BJ776">
        <f t="shared" si="162"/>
        <v>23.474011445556819</v>
      </c>
    </row>
    <row r="777" spans="42:62" x14ac:dyDescent="0.25">
      <c r="AP777" s="1">
        <v>772</v>
      </c>
      <c r="AQ777" s="7">
        <f t="shared" si="151"/>
        <v>37592.641096073217</v>
      </c>
      <c r="AR777" s="7">
        <f t="shared" si="152"/>
        <v>-227124.96455811471</v>
      </c>
      <c r="AS777" s="7"/>
      <c r="AT777" s="7">
        <f t="shared" si="153"/>
        <v>908.03134929837609</v>
      </c>
      <c r="AU777" s="7">
        <f t="shared" si="154"/>
        <v>-1868.2561735533529</v>
      </c>
      <c r="AV777" s="7"/>
      <c r="AX777" s="7">
        <f t="shared" si="155"/>
        <v>-0.70530823548959587</v>
      </c>
      <c r="AY777" s="7">
        <f t="shared" si="156"/>
        <v>9.4063716101858983</v>
      </c>
      <c r="BB777" s="7">
        <f t="shared" si="157"/>
        <v>-0.71097473997491212</v>
      </c>
      <c r="BC777" s="7">
        <f t="shared" si="158"/>
        <v>2.9272812777770088</v>
      </c>
      <c r="BF777" s="7">
        <f t="shared" si="159"/>
        <v>-2.1949230566135585</v>
      </c>
      <c r="BG777" s="7">
        <f t="shared" si="160"/>
        <v>10.931418282837246</v>
      </c>
      <c r="BI777" s="10">
        <f t="shared" si="161"/>
        <v>-3.6112060320780666</v>
      </c>
      <c r="BJ777">
        <f t="shared" si="162"/>
        <v>23.265071170800155</v>
      </c>
    </row>
    <row r="778" spans="42:62" x14ac:dyDescent="0.25">
      <c r="AP778" s="1">
        <v>773</v>
      </c>
      <c r="AQ778" s="7">
        <f t="shared" si="151"/>
        <v>38046.205369968389</v>
      </c>
      <c r="AR778" s="7">
        <f t="shared" si="152"/>
        <v>-228056.18451099502</v>
      </c>
      <c r="AS778" s="7"/>
      <c r="AT778" s="7">
        <f t="shared" si="153"/>
        <v>906.22574628233701</v>
      </c>
      <c r="AU778" s="7">
        <f t="shared" si="154"/>
        <v>-1856.6236379679528</v>
      </c>
      <c r="AV778" s="7"/>
      <c r="AX778" s="7">
        <f t="shared" si="155"/>
        <v>-0.71469794043084867</v>
      </c>
      <c r="AY778" s="7">
        <f t="shared" si="156"/>
        <v>9.3289152192581994</v>
      </c>
      <c r="BB778" s="7">
        <f t="shared" si="157"/>
        <v>-0.70773867802045798</v>
      </c>
      <c r="BC778" s="7">
        <f t="shared" si="158"/>
        <v>2.9025423496085043</v>
      </c>
      <c r="BF778" s="7">
        <f t="shared" si="159"/>
        <v>-2.1878107120430959</v>
      </c>
      <c r="BG778" s="7">
        <f t="shared" si="160"/>
        <v>10.828517838772916</v>
      </c>
      <c r="BI778" s="10">
        <f t="shared" si="161"/>
        <v>-3.6102473304944027</v>
      </c>
      <c r="BJ778">
        <f t="shared" si="162"/>
        <v>23.05997540763962</v>
      </c>
    </row>
    <row r="779" spans="42:62" x14ac:dyDescent="0.25">
      <c r="AP779" s="1">
        <v>774</v>
      </c>
      <c r="AQ779" s="7">
        <f t="shared" si="151"/>
        <v>38498.866962193242</v>
      </c>
      <c r="AR779" s="7">
        <f t="shared" si="152"/>
        <v>-228981.61383305307</v>
      </c>
      <c r="AS779" s="7"/>
      <c r="AT779" s="7">
        <f t="shared" si="153"/>
        <v>904.42062261708986</v>
      </c>
      <c r="AU779" s="7">
        <f t="shared" si="154"/>
        <v>-1845.093650264133</v>
      </c>
      <c r="AV779" s="7"/>
      <c r="AX779" s="7">
        <f t="shared" si="155"/>
        <v>-0.72380350256722437</v>
      </c>
      <c r="AY779" s="7">
        <f t="shared" si="156"/>
        <v>9.2527948189979288</v>
      </c>
      <c r="BB779" s="7">
        <f t="shared" si="157"/>
        <v>-0.70454785048029678</v>
      </c>
      <c r="BC779" s="7">
        <f t="shared" si="158"/>
        <v>2.8782434784456075</v>
      </c>
      <c r="BF779" s="7">
        <f t="shared" si="159"/>
        <v>-2.1807380310933024</v>
      </c>
      <c r="BG779" s="7">
        <f t="shared" si="160"/>
        <v>10.727586160946093</v>
      </c>
      <c r="BI779" s="10">
        <f t="shared" si="161"/>
        <v>-3.6090893841408236</v>
      </c>
      <c r="BJ779">
        <f t="shared" si="162"/>
        <v>22.858624458389627</v>
      </c>
    </row>
    <row r="780" spans="42:62" x14ac:dyDescent="0.25">
      <c r="AP780" s="1">
        <v>775</v>
      </c>
      <c r="AQ780" s="7">
        <f t="shared" si="151"/>
        <v>38950.626137328771</v>
      </c>
      <c r="AR780" s="7">
        <f t="shared" si="152"/>
        <v>-229901.30333012785</v>
      </c>
      <c r="AS780" s="7"/>
      <c r="AT780" s="7">
        <f t="shared" si="153"/>
        <v>902.61607792501945</v>
      </c>
      <c r="AU780" s="7">
        <f t="shared" si="154"/>
        <v>-1833.6643380349381</v>
      </c>
      <c r="AV780" s="7"/>
      <c r="AX780" s="7">
        <f t="shared" si="155"/>
        <v>-0.73263469564104511</v>
      </c>
      <c r="AY780" s="7">
        <f t="shared" si="156"/>
        <v>9.1779780968531171</v>
      </c>
      <c r="BB780" s="7">
        <f t="shared" si="157"/>
        <v>-0.70140139901050935</v>
      </c>
      <c r="BC780" s="7">
        <f t="shared" si="158"/>
        <v>2.8543735801585659</v>
      </c>
      <c r="BF780" s="7">
        <f t="shared" si="159"/>
        <v>-2.1737063139448196</v>
      </c>
      <c r="BG780" s="7">
        <f t="shared" si="160"/>
        <v>10.628570306690541</v>
      </c>
      <c r="BI780" s="10">
        <f t="shared" si="161"/>
        <v>-3.6077424085963741</v>
      </c>
      <c r="BJ780">
        <f t="shared" si="162"/>
        <v>22.660921983702224</v>
      </c>
    </row>
    <row r="781" spans="42:62" x14ac:dyDescent="0.25">
      <c r="AP781" s="1">
        <v>776</v>
      </c>
      <c r="AQ781" s="7">
        <f t="shared" si="151"/>
        <v>39401.483208490208</v>
      </c>
      <c r="AR781" s="7">
        <f t="shared" si="152"/>
        <v>-230815.30288389736</v>
      </c>
      <c r="AS781" s="7"/>
      <c r="AT781" s="7">
        <f t="shared" si="153"/>
        <v>900.81220672072129</v>
      </c>
      <c r="AU781" s="7">
        <f t="shared" si="154"/>
        <v>-1822.3338770430869</v>
      </c>
      <c r="AV781" s="7"/>
      <c r="AX781" s="7">
        <f t="shared" si="155"/>
        <v>-0.74120090684014661</v>
      </c>
      <c r="AY781" s="7">
        <f t="shared" si="156"/>
        <v>9.1044337545353429</v>
      </c>
      <c r="BB781" s="7">
        <f t="shared" si="157"/>
        <v>-0.6982984874822451</v>
      </c>
      <c r="BC781" s="7">
        <f t="shared" si="158"/>
        <v>2.8309219346625532</v>
      </c>
      <c r="BF781" s="7">
        <f t="shared" si="159"/>
        <v>-2.1667167499654552</v>
      </c>
      <c r="BG781" s="7">
        <f t="shared" si="160"/>
        <v>10.531419174934102</v>
      </c>
      <c r="BI781" s="10">
        <f t="shared" si="161"/>
        <v>-3.6062161442878469</v>
      </c>
      <c r="BJ781">
        <f t="shared" si="162"/>
        <v>22.466774864131999</v>
      </c>
    </row>
    <row r="782" spans="42:62" x14ac:dyDescent="0.25">
      <c r="AP782" s="1">
        <v>777</v>
      </c>
      <c r="AQ782" s="7">
        <f t="shared" si="151"/>
        <v>39851.43853483253</v>
      </c>
      <c r="AR782" s="7">
        <f t="shared" si="152"/>
        <v>-231723.66147556089</v>
      </c>
      <c r="AS782" s="7"/>
      <c r="AT782" s="7">
        <f t="shared" si="153"/>
        <v>899.00909864857738</v>
      </c>
      <c r="AU782" s="7">
        <f t="shared" si="154"/>
        <v>-1811.100489611021</v>
      </c>
      <c r="AV782" s="7"/>
      <c r="AX782" s="7">
        <f t="shared" si="155"/>
        <v>-0.74951115450718608</v>
      </c>
      <c r="AY782" s="7">
        <f t="shared" si="156"/>
        <v>9.0321314691311603</v>
      </c>
      <c r="BB782" s="7">
        <f t="shared" si="157"/>
        <v>-0.6952383012656318</v>
      </c>
      <c r="BC782" s="7">
        <f t="shared" si="158"/>
        <v>2.8078781712518412</v>
      </c>
      <c r="BF782" s="7">
        <f t="shared" si="159"/>
        <v>-2.1597704248389662</v>
      </c>
      <c r="BG782" s="7">
        <f t="shared" si="160"/>
        <v>10.436083428053555</v>
      </c>
      <c r="BI782" s="10">
        <f t="shared" si="161"/>
        <v>-3.6045198806117842</v>
      </c>
      <c r="BJ782">
        <f t="shared" si="162"/>
        <v>22.276093068436559</v>
      </c>
    </row>
    <row r="783" spans="42:62" x14ac:dyDescent="0.25">
      <c r="AP783" s="1">
        <v>778</v>
      </c>
      <c r="AQ783" s="7">
        <f t="shared" si="151"/>
        <v>40300.492519171741</v>
      </c>
      <c r="AR783" s="7">
        <f t="shared" si="152"/>
        <v>-232626.42720873284</v>
      </c>
      <c r="AS783" s="7"/>
      <c r="AT783" s="7">
        <f t="shared" si="153"/>
        <v>897.20683870827145</v>
      </c>
      <c r="AU783" s="7">
        <f t="shared" si="154"/>
        <v>-1799.9624430768026</v>
      </c>
      <c r="AV783" s="7"/>
      <c r="AX783" s="7">
        <f t="shared" si="155"/>
        <v>-0.75757410492343269</v>
      </c>
      <c r="AY783" s="7">
        <f t="shared" si="156"/>
        <v>8.9610418559706773</v>
      </c>
      <c r="BB783" s="7">
        <f t="shared" si="157"/>
        <v>-0.69222004654147429</v>
      </c>
      <c r="BC783" s="7">
        <f t="shared" si="158"/>
        <v>2.7852322546324628</v>
      </c>
      <c r="BF783" s="7">
        <f t="shared" si="159"/>
        <v>-2.1528683272295299</v>
      </c>
      <c r="BG783" s="7">
        <f t="shared" si="160"/>
        <v>10.34251541763083</v>
      </c>
      <c r="BI783" s="10">
        <f t="shared" si="161"/>
        <v>-3.6026624786944366</v>
      </c>
      <c r="BJ783">
        <f t="shared" si="162"/>
        <v>22.088789528233971</v>
      </c>
    </row>
    <row r="784" spans="42:62" x14ac:dyDescent="0.25">
      <c r="AP784" s="1">
        <v>779</v>
      </c>
      <c r="AQ784" s="7">
        <f t="shared" si="151"/>
        <v>40748.645605716039</v>
      </c>
      <c r="AR784" s="7">
        <f t="shared" si="152"/>
        <v>-233523.64733158023</v>
      </c>
      <c r="AS784" s="7"/>
      <c r="AT784" s="7">
        <f t="shared" si="153"/>
        <v>895.40550746892427</v>
      </c>
      <c r="AU784" s="7">
        <f t="shared" si="154"/>
        <v>-1788.9180483126856</v>
      </c>
      <c r="AV784" s="7"/>
      <c r="AX784" s="7">
        <f t="shared" si="155"/>
        <v>-0.76539808822139188</v>
      </c>
      <c r="AY784" s="7">
        <f t="shared" si="156"/>
        <v>8.8911364331615186</v>
      </c>
      <c r="BB784" s="7">
        <f t="shared" si="157"/>
        <v>-0.68924294963948407</v>
      </c>
      <c r="BC784" s="7">
        <f t="shared" si="158"/>
        <v>2.7629744716150602</v>
      </c>
      <c r="BF784" s="7">
        <f t="shared" si="159"/>
        <v>-2.1460113550148359</v>
      </c>
      <c r="BG784" s="7">
        <f t="shared" si="160"/>
        <v>10.250669113890343</v>
      </c>
      <c r="BI784" s="10">
        <f t="shared" si="161"/>
        <v>-3.6006523928757117</v>
      </c>
      <c r="BJ784">
        <f t="shared" si="162"/>
        <v>21.904780018666919</v>
      </c>
    </row>
    <row r="785" spans="42:62" x14ac:dyDescent="0.25">
      <c r="AP785" s="1">
        <v>780</v>
      </c>
      <c r="AQ785" s="7">
        <f t="shared" si="151"/>
        <v>41195.89827790139</v>
      </c>
      <c r="AR785" s="7">
        <f t="shared" si="152"/>
        <v>-234415.36825823426</v>
      </c>
      <c r="AS785" s="7"/>
      <c r="AT785" s="7">
        <f t="shared" si="153"/>
        <v>893.60518127248645</v>
      </c>
      <c r="AU785" s="7">
        <f t="shared" si="154"/>
        <v>-1777.9656583033523</v>
      </c>
      <c r="AV785" s="7"/>
      <c r="AX785" s="7">
        <f t="shared" si="155"/>
        <v>-0.77299111347724303</v>
      </c>
      <c r="AY785" s="7">
        <f t="shared" si="156"/>
        <v>8.82238758770381</v>
      </c>
      <c r="BB785" s="7">
        <f t="shared" si="157"/>
        <v>-0.6863062564018575</v>
      </c>
      <c r="BC785" s="7">
        <f t="shared" si="158"/>
        <v>2.7410954184320637</v>
      </c>
      <c r="BF785" s="7">
        <f t="shared" si="159"/>
        <v>-2.1392003211169031</v>
      </c>
      <c r="BG785" s="7">
        <f t="shared" si="160"/>
        <v>10.160500038604752</v>
      </c>
      <c r="BI785" s="10">
        <f t="shared" si="161"/>
        <v>-3.5984976909960036</v>
      </c>
      <c r="BJ785">
        <f t="shared" si="162"/>
        <v>21.723983044740628</v>
      </c>
    </row>
    <row r="786" spans="42:62" x14ac:dyDescent="0.25">
      <c r="AP786" s="1">
        <v>781</v>
      </c>
      <c r="AQ786" s="7">
        <f t="shared" si="151"/>
        <v>41642.251056326262</v>
      </c>
      <c r="AR786" s="7">
        <f t="shared" si="152"/>
        <v>-235301.63558950534</v>
      </c>
      <c r="AS786" s="7"/>
      <c r="AT786" s="7">
        <f t="shared" si="153"/>
        <v>891.80593242698842</v>
      </c>
      <c r="AU786" s="7">
        <f t="shared" si="154"/>
        <v>-1767.1036667809819</v>
      </c>
      <c r="AV786" s="7"/>
      <c r="AX786" s="7">
        <f t="shared" si="155"/>
        <v>-0.78036088303047091</v>
      </c>
      <c r="AY786" s="7">
        <f t="shared" si="156"/>
        <v>8.7547685431032836</v>
      </c>
      <c r="BB786" s="7">
        <f t="shared" si="157"/>
        <v>-0.68340923157095324</v>
      </c>
      <c r="BC786" s="7">
        <f t="shared" si="158"/>
        <v>2.7195859886449911</v>
      </c>
      <c r="BF786" s="7">
        <f t="shared" si="159"/>
        <v>-2.1324359589586899</v>
      </c>
      <c r="BG786" s="7">
        <f t="shared" si="160"/>
        <v>10.071965201275523</v>
      </c>
      <c r="BI786" s="10">
        <f t="shared" si="161"/>
        <v>-3.596206073560114</v>
      </c>
      <c r="BJ786">
        <f t="shared" si="162"/>
        <v>21.5463197330238</v>
      </c>
    </row>
    <row r="787" spans="42:62" x14ac:dyDescent="0.25">
      <c r="AP787" s="1">
        <v>782</v>
      </c>
      <c r="AQ787" s="7">
        <f t="shared" si="151"/>
        <v>42087.704496780563</v>
      </c>
      <c r="AR787" s="7">
        <f t="shared" si="152"/>
        <v>-236182.49413292922</v>
      </c>
      <c r="AS787" s="7"/>
      <c r="AT787" s="7">
        <f t="shared" si="153"/>
        <v>890.00782939020837</v>
      </c>
      <c r="AU787" s="7">
        <f t="shared" si="154"/>
        <v>-1756.3305069144701</v>
      </c>
      <c r="AV787" s="7"/>
      <c r="AX787" s="7">
        <f t="shared" si="155"/>
        <v>-0.78751480607532998</v>
      </c>
      <c r="AY787" s="7">
        <f t="shared" si="156"/>
        <v>8.6882533284080186</v>
      </c>
      <c r="BB787" s="7">
        <f t="shared" si="157"/>
        <v>-0.68055115820020307</v>
      </c>
      <c r="BC787" s="7">
        <f t="shared" si="158"/>
        <v>2.6984373616110595</v>
      </c>
      <c r="BF787" s="7">
        <f t="shared" si="159"/>
        <v>-2.1257189275718398</v>
      </c>
      <c r="BG787" s="7">
        <f t="shared" si="160"/>
        <v>9.9850230384040319</v>
      </c>
      <c r="BI787" s="10">
        <f t="shared" si="161"/>
        <v>-3.5937848918473727</v>
      </c>
      <c r="BJ787">
        <f t="shared" si="162"/>
        <v>21.37171372842311</v>
      </c>
    </row>
    <row r="788" spans="42:62" x14ac:dyDescent="0.25">
      <c r="AP788" s="1">
        <v>783</v>
      </c>
      <c r="AQ788" s="7">
        <f t="shared" si="151"/>
        <v>42532.259188364187</v>
      </c>
      <c r="AR788" s="7">
        <f t="shared" si="152"/>
        <v>-237057.9879221704</v>
      </c>
      <c r="AS788" s="7"/>
      <c r="AT788" s="7">
        <f t="shared" si="153"/>
        <v>888.21093694428464</v>
      </c>
      <c r="AU788" s="7">
        <f t="shared" si="154"/>
        <v>-1745.6446500502586</v>
      </c>
      <c r="AV788" s="7"/>
      <c r="AX788" s="7">
        <f t="shared" si="155"/>
        <v>-0.79446001156570334</v>
      </c>
      <c r="AY788" s="7">
        <f t="shared" si="156"/>
        <v>8.6228167485959926</v>
      </c>
      <c r="BB788" s="7">
        <f t="shared" si="157"/>
        <v>-0.67773133708701327</v>
      </c>
      <c r="BC788" s="7">
        <f t="shared" si="158"/>
        <v>2.6776409914784631</v>
      </c>
      <c r="BF788" s="7">
        <f t="shared" si="159"/>
        <v>-2.1190498163793019</v>
      </c>
      <c r="BG788" s="7">
        <f t="shared" si="160"/>
        <v>9.8996333556815816</v>
      </c>
      <c r="BI788" s="10">
        <f t="shared" si="161"/>
        <v>-3.5912411650320188</v>
      </c>
      <c r="BJ788">
        <f t="shared" si="162"/>
        <v>21.200091095756036</v>
      </c>
    </row>
    <row r="789" spans="42:62" x14ac:dyDescent="0.25">
      <c r="AP789" s="1">
        <v>784</v>
      </c>
      <c r="AQ789" s="7">
        <f t="shared" si="151"/>
        <v>42975.915751690707</v>
      </c>
      <c r="AR789" s="7">
        <f t="shared" si="152"/>
        <v>-237928.16023580858</v>
      </c>
      <c r="AS789" s="7"/>
      <c r="AT789" s="7">
        <f t="shared" si="153"/>
        <v>886.41531636176865</v>
      </c>
      <c r="AU789" s="7">
        <f t="shared" si="154"/>
        <v>-1735.0446045023807</v>
      </c>
      <c r="AV789" s="7"/>
      <c r="AX789" s="7">
        <f t="shared" si="155"/>
        <v>-0.80120336047237961</v>
      </c>
      <c r="AY789" s="7">
        <f t="shared" si="156"/>
        <v>8.5584343562460052</v>
      </c>
      <c r="BB789" s="7">
        <f t="shared" si="157"/>
        <v>-0.67494908622684591</v>
      </c>
      <c r="BC789" s="7">
        <f t="shared" si="158"/>
        <v>2.6571885966830027</v>
      </c>
      <c r="BF789" s="7">
        <f t="shared" si="159"/>
        <v>-2.1124291496747429</v>
      </c>
      <c r="BG789" s="7">
        <f t="shared" si="160"/>
        <v>9.8157572729372742</v>
      </c>
      <c r="BI789" s="10">
        <f t="shared" si="161"/>
        <v>-3.5885815963739685</v>
      </c>
      <c r="BJ789">
        <f t="shared" si="162"/>
        <v>21.031380225866283</v>
      </c>
    </row>
    <row r="790" spans="42:62" x14ac:dyDescent="0.25">
      <c r="AP790" s="1">
        <v>785</v>
      </c>
      <c r="AQ790" s="7">
        <f t="shared" si="151"/>
        <v>43418.674837172046</v>
      </c>
      <c r="AR790" s="7">
        <f t="shared" si="152"/>
        <v>-238793.05361553153</v>
      </c>
      <c r="AS790" s="7"/>
      <c r="AT790" s="7">
        <f t="shared" si="153"/>
        <v>884.62102556358161</v>
      </c>
      <c r="AU790" s="7">
        <f t="shared" si="154"/>
        <v>-1724.5289143894477</v>
      </c>
      <c r="AV790" s="7"/>
      <c r="AX790" s="7">
        <f t="shared" si="155"/>
        <v>-0.80775145742932264</v>
      </c>
      <c r="AY790" s="7">
        <f t="shared" si="156"/>
        <v>8.4950824244284</v>
      </c>
      <c r="BB790" s="7">
        <f t="shared" si="157"/>
        <v>-0.67220374028747876</v>
      </c>
      <c r="BC790" s="7">
        <f t="shared" si="158"/>
        <v>2.6370721499194461</v>
      </c>
      <c r="BF790" s="7">
        <f t="shared" si="159"/>
        <v>-2.1058573908190801</v>
      </c>
      <c r="BG790" s="7">
        <f t="shared" si="160"/>
        <v>9.7333571716925391</v>
      </c>
      <c r="BI790" s="10">
        <f t="shared" si="161"/>
        <v>-3.5858125885358811</v>
      </c>
      <c r="BJ790">
        <f t="shared" si="162"/>
        <v>20.865511746040383</v>
      </c>
    </row>
    <row r="791" spans="42:62" x14ac:dyDescent="0.25">
      <c r="AP791" s="1">
        <v>786</v>
      </c>
      <c r="AQ791" s="7">
        <f t="shared" si="151"/>
        <v>43860.537123380273</v>
      </c>
      <c r="AR791" s="7">
        <f t="shared" si="152"/>
        <v>-239652.70988375798</v>
      </c>
      <c r="AS791" s="7"/>
      <c r="AT791" s="7">
        <f t="shared" si="153"/>
        <v>882.82811926931367</v>
      </c>
      <c r="AU791" s="7">
        <f t="shared" si="154"/>
        <v>-1714.0961585164275</v>
      </c>
      <c r="AV791" s="7"/>
      <c r="AX791" s="7">
        <f t="shared" si="155"/>
        <v>-0.81411066180310176</v>
      </c>
      <c r="AY791" s="7">
        <f t="shared" si="156"/>
        <v>8.43273792075437</v>
      </c>
      <c r="BB791" s="7">
        <f t="shared" si="157"/>
        <v>-0.66949465010260512</v>
      </c>
      <c r="BC791" s="7">
        <f t="shared" si="158"/>
        <v>2.6172838685630309</v>
      </c>
      <c r="BF791" s="7">
        <f t="shared" si="159"/>
        <v>-2.0993349461731228</v>
      </c>
      <c r="BG791" s="7">
        <f t="shared" si="160"/>
        <v>9.6523966451811596</v>
      </c>
      <c r="BI791" s="10">
        <f t="shared" si="161"/>
        <v>-3.5829402580788292</v>
      </c>
      <c r="BJ791">
        <f t="shared" si="162"/>
        <v>20.702418434498561</v>
      </c>
    </row>
    <row r="792" spans="42:62" x14ac:dyDescent="0.25">
      <c r="AP792" s="1">
        <v>787</v>
      </c>
      <c r="AQ792" s="7">
        <f t="shared" si="151"/>
        <v>44301.503315482667</v>
      </c>
      <c r="AR792" s="7">
        <f t="shared" si="152"/>
        <v>-240507.17016071189</v>
      </c>
      <c r="AS792" s="7"/>
      <c r="AT792" s="7">
        <f t="shared" si="153"/>
        <v>881.03664914027422</v>
      </c>
      <c r="AU792" s="7">
        <f t="shared" si="154"/>
        <v>-1703.7449492991782</v>
      </c>
      <c r="AV792" s="7"/>
      <c r="AX792" s="7">
        <f t="shared" si="155"/>
        <v>-0.82028709821772849</v>
      </c>
      <c r="AY792" s="7">
        <f t="shared" si="156"/>
        <v>8.3713784825282609</v>
      </c>
      <c r="BB792" s="7">
        <f t="shared" si="157"/>
        <v>-0.66682118218389519</v>
      </c>
      <c r="BC792" s="7">
        <f t="shared" si="158"/>
        <v>2.5978162055176552</v>
      </c>
      <c r="BF792" s="7">
        <f t="shared" si="159"/>
        <v>-2.0928621687836024</v>
      </c>
      <c r="BG792" s="7">
        <f t="shared" si="160"/>
        <v>9.5728404507005624</v>
      </c>
      <c r="BI792" s="10">
        <f t="shared" si="161"/>
        <v>-3.5799704491852262</v>
      </c>
      <c r="BJ792">
        <f t="shared" si="162"/>
        <v>20.542035138746478</v>
      </c>
    </row>
    <row r="793" spans="42:62" x14ac:dyDescent="0.25">
      <c r="AP793" s="1">
        <v>788</v>
      </c>
      <c r="AQ793" s="7">
        <f t="shared" si="151"/>
        <v>44741.574143746649</v>
      </c>
      <c r="AR793" s="7">
        <f t="shared" si="152"/>
        <v>-241356.47488096915</v>
      </c>
      <c r="AS793" s="7"/>
      <c r="AT793" s="7">
        <f t="shared" si="153"/>
        <v>879.24666391568155</v>
      </c>
      <c r="AU793" s="7">
        <f t="shared" si="154"/>
        <v>-1693.4739317298049</v>
      </c>
      <c r="AV793" s="7"/>
      <c r="AX793" s="7">
        <f t="shared" si="155"/>
        <v>-0.82628666656487937</v>
      </c>
      <c r="AY793" s="7">
        <f t="shared" si="156"/>
        <v>8.310982392947464</v>
      </c>
      <c r="BB793" s="7">
        <f t="shared" si="157"/>
        <v>-0.66418271825083586</v>
      </c>
      <c r="BC793" s="7">
        <f t="shared" si="158"/>
        <v>2.5786618404692483</v>
      </c>
      <c r="BF793" s="7">
        <f t="shared" si="159"/>
        <v>-2.0864393618392287</v>
      </c>
      <c r="BG793" s="7">
        <f t="shared" si="160"/>
        <v>9.4946544641711963</v>
      </c>
      <c r="BI793" s="10">
        <f t="shared" si="161"/>
        <v>-3.5769087466549441</v>
      </c>
      <c r="BJ793">
        <f t="shared" si="162"/>
        <v>20.384298697587909</v>
      </c>
    </row>
    <row r="794" spans="42:62" x14ac:dyDescent="0.25">
      <c r="AP794" s="1">
        <v>789</v>
      </c>
      <c r="AQ794" s="7">
        <f t="shared" si="151"/>
        <v>45180.750362111154</v>
      </c>
      <c r="AR794" s="7">
        <f t="shared" si="152"/>
        <v>-242200.66380949685</v>
      </c>
      <c r="AS794" s="7"/>
      <c r="AT794" s="7">
        <f t="shared" si="153"/>
        <v>877.4582095423541</v>
      </c>
      <c r="AU794" s="7">
        <f t="shared" si="154"/>
        <v>-1683.281782381011</v>
      </c>
      <c r="AV794" s="7"/>
      <c r="AX794" s="7">
        <f t="shared" si="155"/>
        <v>-0.83211505152789544</v>
      </c>
      <c r="AY794" s="7">
        <f t="shared" si="156"/>
        <v>8.2515285583002349</v>
      </c>
      <c r="BB794" s="7">
        <f t="shared" si="157"/>
        <v>-0.66157865477743838</v>
      </c>
      <c r="BC794" s="7">
        <f t="shared" si="158"/>
        <v>2.5598136715230617</v>
      </c>
      <c r="BF794" s="7">
        <f t="shared" si="159"/>
        <v>-2.0800667819114911</v>
      </c>
      <c r="BG794" s="7">
        <f t="shared" si="160"/>
        <v>9.4178056367846672</v>
      </c>
      <c r="BI794" s="10">
        <f t="shared" si="161"/>
        <v>-3.5737604882168252</v>
      </c>
      <c r="BJ794">
        <f t="shared" si="162"/>
        <v>20.229147866607963</v>
      </c>
    </row>
    <row r="795" spans="42:62" x14ac:dyDescent="0.25">
      <c r="AP795" s="1">
        <v>790</v>
      </c>
      <c r="AQ795" s="7">
        <f t="shared" si="151"/>
        <v>45619.0327468213</v>
      </c>
      <c r="AR795" s="7">
        <f t="shared" si="152"/>
        <v>-243039.77605720403</v>
      </c>
      <c r="AS795" s="7"/>
      <c r="AT795" s="7">
        <f t="shared" si="153"/>
        <v>875.67132929824572</v>
      </c>
      <c r="AU795" s="7">
        <f t="shared" si="154"/>
        <v>-1673.167208447707</v>
      </c>
      <c r="AV795" s="7"/>
      <c r="AX795" s="7">
        <f t="shared" si="155"/>
        <v>-0.8377777316460947</v>
      </c>
      <c r="AY795" s="7">
        <f t="shared" si="156"/>
        <v>8.1929964861131612</v>
      </c>
      <c r="BB795" s="7">
        <f t="shared" si="157"/>
        <v>-0.65900840255525672</v>
      </c>
      <c r="BC795" s="7">
        <f t="shared" si="158"/>
        <v>2.5412648072060438</v>
      </c>
      <c r="BF795" s="7">
        <f t="shared" si="159"/>
        <v>-2.0737446419945886</v>
      </c>
      <c r="BG795" s="7">
        <f t="shared" si="160"/>
        <v>9.342261953631839</v>
      </c>
      <c r="BI795" s="10">
        <f t="shared" si="161"/>
        <v>-3.5705307761959402</v>
      </c>
      <c r="BJ795">
        <f t="shared" si="162"/>
        <v>20.076523246951044</v>
      </c>
    </row>
    <row r="796" spans="42:62" x14ac:dyDescent="0.25">
      <c r="AP796" s="1">
        <v>791</v>
      </c>
      <c r="AQ796" s="7">
        <f t="shared" si="151"/>
        <v>46056.422095123402</v>
      </c>
      <c r="AR796" s="7">
        <f t="shared" si="152"/>
        <v>-243873.85009602201</v>
      </c>
      <c r="AS796" s="7"/>
      <c r="AT796" s="7">
        <f t="shared" si="153"/>
        <v>873.88606391014775</v>
      </c>
      <c r="AU796" s="7">
        <f t="shared" si="154"/>
        <v>-1663.1289468242314</v>
      </c>
      <c r="AV796" s="7"/>
      <c r="AX796" s="7">
        <f t="shared" si="155"/>
        <v>-0.84327998794429082</v>
      </c>
      <c r="AY796" s="7">
        <f t="shared" si="156"/>
        <v>8.1353662642023412</v>
      </c>
      <c r="BB796" s="7">
        <f t="shared" si="157"/>
        <v>-0.65647138627193713</v>
      </c>
      <c r="BC796" s="7">
        <f t="shared" si="158"/>
        <v>2.5230085588155591</v>
      </c>
      <c r="BF796" s="7">
        <f t="shared" si="159"/>
        <v>-2.067473114357393</v>
      </c>
      <c r="BG796" s="7">
        <f t="shared" si="160"/>
        <v>9.2679923942062921</v>
      </c>
      <c r="BI796" s="10">
        <f t="shared" si="161"/>
        <v>-3.5672244885736211</v>
      </c>
      <c r="BJ796">
        <f t="shared" si="162"/>
        <v>19.92636721722419</v>
      </c>
    </row>
    <row r="797" spans="42:62" x14ac:dyDescent="0.25">
      <c r="AP797" s="1">
        <v>792</v>
      </c>
      <c r="AQ797" s="7">
        <f t="shared" si="151"/>
        <v>46492.919224017402</v>
      </c>
      <c r="AR797" s="7">
        <f t="shared" si="152"/>
        <v>-244702.92377353198</v>
      </c>
      <c r="AS797" s="7"/>
      <c r="AT797" s="7">
        <f t="shared" si="153"/>
        <v>872.10245166586094</v>
      </c>
      <c r="AU797" s="7">
        <f t="shared" si="154"/>
        <v>-1653.1657632156193</v>
      </c>
      <c r="AV797" s="7"/>
      <c r="AX797" s="7">
        <f t="shared" si="155"/>
        <v>-0.84862691215100161</v>
      </c>
      <c r="AY797" s="7">
        <f t="shared" si="156"/>
        <v>8.0786185405857225</v>
      </c>
      <c r="BB797" s="7">
        <f t="shared" si="157"/>
        <v>-0.65396704410466711</v>
      </c>
      <c r="BC797" s="7">
        <f t="shared" si="158"/>
        <v>2.5050384330972273</v>
      </c>
      <c r="BF797" s="7">
        <f t="shared" si="159"/>
        <v>-2.0612523332195543</v>
      </c>
      <c r="BG797" s="7">
        <f t="shared" si="160"/>
        <v>9.1949668946853382</v>
      </c>
      <c r="BI797" s="10">
        <f t="shared" si="161"/>
        <v>-3.5638462894752232</v>
      </c>
      <c r="BJ797">
        <f t="shared" si="162"/>
        <v>19.778623868368289</v>
      </c>
    </row>
    <row r="798" spans="42:62" x14ac:dyDescent="0.25">
      <c r="AP798" s="1">
        <v>793</v>
      </c>
      <c r="AQ798" s="7">
        <f t="shared" si="151"/>
        <v>46928.52496906415</v>
      </c>
      <c r="AR798" s="7">
        <f t="shared" si="152"/>
        <v>-245527.03432715623</v>
      </c>
      <c r="AS798" s="7"/>
      <c r="AT798" s="7">
        <f t="shared" si="153"/>
        <v>870.32052852112338</v>
      </c>
      <c r="AU798" s="7">
        <f t="shared" si="154"/>
        <v>-1643.2764512814351</v>
      </c>
      <c r="AV798" s="7"/>
      <c r="AX798" s="7">
        <f t="shared" si="155"/>
        <v>-0.8538234145273943</v>
      </c>
      <c r="AY798" s="7">
        <f t="shared" si="156"/>
        <v>8.0227345042159879</v>
      </c>
      <c r="BB798" s="7">
        <f t="shared" si="157"/>
        <v>-0.65149482732798192</v>
      </c>
      <c r="BC798" s="7">
        <f t="shared" si="158"/>
        <v>2.487348125235842</v>
      </c>
      <c r="BF798" s="7">
        <f t="shared" si="159"/>
        <v>-2.0550823972632655</v>
      </c>
      <c r="BG798" s="7">
        <f t="shared" si="160"/>
        <v>9.1231563118974748</v>
      </c>
      <c r="BI798" s="10">
        <f t="shared" si="161"/>
        <v>-3.5604006391186416</v>
      </c>
      <c r="BJ798">
        <f t="shared" si="162"/>
        <v>19.633238941349305</v>
      </c>
    </row>
    <row r="799" spans="42:62" x14ac:dyDescent="0.25">
      <c r="AP799" s="1">
        <v>794</v>
      </c>
      <c r="AQ799" s="7">
        <f t="shared" si="151"/>
        <v>47363.240183244823</v>
      </c>
      <c r="AR799" s="7">
        <f t="shared" si="152"/>
        <v>-246346.21839792927</v>
      </c>
      <c r="AS799" s="7"/>
      <c r="AT799" s="7">
        <f t="shared" si="153"/>
        <v>868.54032820156408</v>
      </c>
      <c r="AU799" s="7">
        <f t="shared" si="154"/>
        <v>-1633.4598318107605</v>
      </c>
      <c r="AV799" s="7"/>
      <c r="AX799" s="7">
        <f t="shared" si="155"/>
        <v>-0.85887423132764218</v>
      </c>
      <c r="AY799" s="7">
        <f t="shared" si="156"/>
        <v>7.9676958664950233</v>
      </c>
      <c r="BB799" s="7">
        <f t="shared" si="157"/>
        <v>-0.64905419993518731</v>
      </c>
      <c r="BC799" s="7">
        <f t="shared" si="158"/>
        <v>2.469931512143368</v>
      </c>
      <c r="BF799" s="7">
        <f t="shared" si="159"/>
        <v>-2.0489633719910523</v>
      </c>
      <c r="BG799" s="7">
        <f t="shared" si="160"/>
        <v>9.0525323888890341</v>
      </c>
      <c r="BI799" s="10">
        <f t="shared" si="161"/>
        <v>-3.5568918032538819</v>
      </c>
      <c r="BJ799">
        <f t="shared" si="162"/>
        <v>19.490159767527427</v>
      </c>
    </row>
    <row r="800" spans="42:62" x14ac:dyDescent="0.25">
      <c r="AP800" s="1">
        <v>795</v>
      </c>
      <c r="AQ800" s="7">
        <f t="shared" si="151"/>
        <v>47797.065735870194</v>
      </c>
      <c r="AR800" s="7">
        <f t="shared" si="152"/>
        <v>-247160.51204386374</v>
      </c>
      <c r="AS800" s="7"/>
      <c r="AT800" s="7">
        <f t="shared" si="153"/>
        <v>866.76188229993716</v>
      </c>
      <c r="AU800" s="7">
        <f t="shared" si="154"/>
        <v>-1623.7147519269968</v>
      </c>
      <c r="AV800" s="7"/>
      <c r="AX800" s="7">
        <f t="shared" si="155"/>
        <v>-0.86378393191023639</v>
      </c>
      <c r="AY800" s="7">
        <f t="shared" si="156"/>
        <v>7.9134848435338441</v>
      </c>
      <c r="BB800" s="7">
        <f t="shared" si="157"/>
        <v>-0.64664463827301943</v>
      </c>
      <c r="BC800" s="7">
        <f t="shared" si="158"/>
        <v>2.4527826460301654</v>
      </c>
      <c r="BF800" s="7">
        <f t="shared" si="159"/>
        <v>-2.042895291939387</v>
      </c>
      <c r="BG800" s="7">
        <f t="shared" si="160"/>
        <v>8.9830677220083128</v>
      </c>
      <c r="BI800" s="10">
        <f t="shared" si="161"/>
        <v>-3.5533238621226428</v>
      </c>
      <c r="BJ800">
        <f t="shared" si="162"/>
        <v>19.349335211572324</v>
      </c>
    </row>
    <row r="801" spans="42:62" x14ac:dyDescent="0.25">
      <c r="AP801" s="1">
        <v>796</v>
      </c>
      <c r="AQ801" s="7">
        <f t="shared" si="151"/>
        <v>48230.002511537394</v>
      </c>
      <c r="AR801" s="7">
        <f t="shared" si="152"/>
        <v>-247969.9507529258</v>
      </c>
      <c r="AS801" s="7"/>
      <c r="AT801" s="7">
        <f t="shared" si="153"/>
        <v>864.98522036887584</v>
      </c>
      <c r="AU801" s="7">
        <f t="shared" si="154"/>
        <v>-1614.0400843212105</v>
      </c>
      <c r="AV801" s="7"/>
      <c r="AX801" s="7">
        <f t="shared" si="155"/>
        <v>-0.86855692551860264</v>
      </c>
      <c r="AY801" s="7">
        <f t="shared" si="156"/>
        <v>7.8600841391234439</v>
      </c>
      <c r="BB801" s="7">
        <f t="shared" si="157"/>
        <v>-0.64426563068888587</v>
      </c>
      <c r="BC801" s="7">
        <f t="shared" si="158"/>
        <v>2.435895748245219</v>
      </c>
      <c r="BF801" s="7">
        <f t="shared" si="159"/>
        <v>-2.0368781627575072</v>
      </c>
      <c r="BG801" s="7">
        <f t="shared" si="160"/>
        <v>8.9147357294314169</v>
      </c>
      <c r="BI801" s="10">
        <f t="shared" si="161"/>
        <v>-3.5497007189649956</v>
      </c>
      <c r="BJ801">
        <f t="shared" si="162"/>
        <v>19.21071561680008</v>
      </c>
    </row>
    <row r="802" spans="42:62" x14ac:dyDescent="0.25">
      <c r="AP802" s="1">
        <v>797</v>
      </c>
      <c r="AQ802" s="7">
        <f t="shared" si="151"/>
        <v>48662.051409131964</v>
      </c>
      <c r="AR802" s="7">
        <f t="shared" si="152"/>
        <v>-248774.56945563431</v>
      </c>
      <c r="AS802" s="7"/>
      <c r="AT802" s="7">
        <f t="shared" si="153"/>
        <v>863.21037000939339</v>
      </c>
      <c r="AU802" s="7">
        <f t="shared" si="154"/>
        <v>-1604.4347265128106</v>
      </c>
      <c r="AV802" s="7"/>
      <c r="AX802" s="7">
        <f t="shared" si="155"/>
        <v>-0.87319746774828955</v>
      </c>
      <c r="AY802" s="7">
        <f t="shared" si="156"/>
        <v>7.8074769283836201</v>
      </c>
      <c r="BB802" s="7">
        <f t="shared" si="157"/>
        <v>-0.64191667719019874</v>
      </c>
      <c r="BC802" s="7">
        <f t="shared" si="158"/>
        <v>2.4192652033724764</v>
      </c>
      <c r="BF802" s="7">
        <f t="shared" si="159"/>
        <v>-2.0309119631595878</v>
      </c>
      <c r="BG802" s="7">
        <f t="shared" si="160"/>
        <v>8.8475106210556564</v>
      </c>
      <c r="BI802" s="10">
        <f t="shared" si="161"/>
        <v>-3.5460261080980762</v>
      </c>
      <c r="BJ802">
        <f t="shared" si="162"/>
        <v>19.074252752811752</v>
      </c>
    </row>
    <row r="803" spans="42:62" x14ac:dyDescent="0.25">
      <c r="AP803" s="1">
        <v>798</v>
      </c>
      <c r="AQ803" s="7">
        <f t="shared" si="151"/>
        <v>49093.213340873146</v>
      </c>
      <c r="AR803" s="7">
        <f t="shared" si="152"/>
        <v>-249574.40253729661</v>
      </c>
      <c r="AS803" s="7"/>
      <c r="AT803" s="7">
        <f t="shared" si="153"/>
        <v>861.4373569553444</v>
      </c>
      <c r="AU803" s="7">
        <f t="shared" si="154"/>
        <v>-1594.8976001364047</v>
      </c>
      <c r="AV803" s="7"/>
      <c r="AX803" s="7">
        <f t="shared" si="155"/>
        <v>-0.87770966671700212</v>
      </c>
      <c r="AY803" s="7">
        <f t="shared" si="156"/>
        <v>7.7556468420587068</v>
      </c>
      <c r="BB803" s="7">
        <f t="shared" si="157"/>
        <v>-0.63959728911537872</v>
      </c>
      <c r="BC803" s="7">
        <f t="shared" si="158"/>
        <v>2.4028855535712288</v>
      </c>
      <c r="BF803" s="7">
        <f t="shared" si="159"/>
        <v>-2.0249966467586069</v>
      </c>
      <c r="BG803" s="7">
        <f t="shared" si="160"/>
        <v>8.7813673696938093</v>
      </c>
      <c r="BI803" s="10">
        <f t="shared" si="161"/>
        <v>-3.5423036025909873</v>
      </c>
      <c r="BJ803">
        <f t="shared" si="162"/>
        <v>18.939899765323744</v>
      </c>
    </row>
    <row r="804" spans="42:62" x14ac:dyDescent="0.25">
      <c r="AP804" s="1">
        <v>799</v>
      </c>
      <c r="AQ804" s="7">
        <f t="shared" si="151"/>
        <v>49523.48923140049</v>
      </c>
      <c r="AR804" s="7">
        <f t="shared" si="152"/>
        <v>-250369.48384989414</v>
      </c>
      <c r="AS804" s="7"/>
      <c r="AT804" s="7">
        <f t="shared" si="153"/>
        <v>859.66620515404895</v>
      </c>
      <c r="AU804" s="7">
        <f t="shared" si="154"/>
        <v>-1585.4276502537427</v>
      </c>
      <c r="AV804" s="7"/>
      <c r="AX804" s="7">
        <f t="shared" si="155"/>
        <v>-0.8820974889528308</v>
      </c>
      <c r="AY804" s="7">
        <f t="shared" si="156"/>
        <v>7.7045779514308439</v>
      </c>
      <c r="BB804" s="7">
        <f t="shared" si="157"/>
        <v>-0.63730698881598014</v>
      </c>
      <c r="BC804" s="7">
        <f t="shared" si="158"/>
        <v>2.3867514931486187</v>
      </c>
      <c r="BF804" s="7">
        <f t="shared" si="159"/>
        <v>-2.0191321437890819</v>
      </c>
      <c r="BG804" s="7">
        <f t="shared" si="160"/>
        <v>8.7162816835036843</v>
      </c>
      <c r="BI804" s="10">
        <f t="shared" si="161"/>
        <v>-3.5385366215578928</v>
      </c>
      <c r="BJ804">
        <f t="shared" si="162"/>
        <v>18.807611128083146</v>
      </c>
    </row>
    <row r="805" spans="42:62" x14ac:dyDescent="0.25">
      <c r="AP805" s="1">
        <v>800</v>
      </c>
      <c r="AQ805" s="7">
        <f t="shared" si="151"/>
        <v>49952.88001689982</v>
      </c>
      <c r="AR805" s="7">
        <f t="shared" si="152"/>
        <v>-251159.84672363001</v>
      </c>
      <c r="AS805" s="7"/>
      <c r="AT805" s="7">
        <f t="shared" si="153"/>
        <v>857.89693684327005</v>
      </c>
      <c r="AU805" s="7">
        <f t="shared" si="154"/>
        <v>-1576.0238446897013</v>
      </c>
      <c r="AV805" s="7"/>
      <c r="AX805" s="7">
        <f t="shared" si="155"/>
        <v>-0.88636476501519812</v>
      </c>
      <c r="AY805" s="7">
        <f t="shared" si="156"/>
        <v>7.6542547538234027</v>
      </c>
      <c r="BB805" s="7">
        <f t="shared" si="157"/>
        <v>-0.63504530934953318</v>
      </c>
      <c r="BC805" s="7">
        <f t="shared" si="158"/>
        <v>2.3708578633534061</v>
      </c>
      <c r="BF805" s="7">
        <f t="shared" si="159"/>
        <v>-2.0133183627256508</v>
      </c>
      <c r="BG805" s="7">
        <f t="shared" si="160"/>
        <v>8.6522299795923043</v>
      </c>
      <c r="BI805" s="10">
        <f t="shared" si="161"/>
        <v>-3.534728437090382</v>
      </c>
      <c r="BJ805">
        <f t="shared" si="162"/>
        <v>18.677342596769112</v>
      </c>
    </row>
    <row r="806" spans="42:62" x14ac:dyDescent="0.25">
      <c r="AP806" s="1">
        <v>801</v>
      </c>
      <c r="AQ806" s="7">
        <f t="shared" si="151"/>
        <v>50381.386644266822</v>
      </c>
      <c r="AR806" s="7">
        <f t="shared" si="152"/>
        <v>-251945.52397815028</v>
      </c>
      <c r="AS806" s="7"/>
      <c r="AT806" s="7">
        <f t="shared" si="153"/>
        <v>856.12957262472491</v>
      </c>
      <c r="AU806" s="7">
        <f t="shared" si="154"/>
        <v>-1566.6851733913168</v>
      </c>
      <c r="AV806" s="7"/>
      <c r="AX806" s="7">
        <f t="shared" si="155"/>
        <v>-0.89051519486201414</v>
      </c>
      <c r="AY806" s="7">
        <f t="shared" si="156"/>
        <v>7.604662158666768</v>
      </c>
      <c r="BB806" s="7">
        <f t="shared" si="157"/>
        <v>-0.63281179418272115</v>
      </c>
      <c r="BC806" s="7">
        <f t="shared" si="158"/>
        <v>2.3551996473807622</v>
      </c>
      <c r="BF806" s="7">
        <f t="shared" si="159"/>
        <v>-2.0075551918039789</v>
      </c>
      <c r="BG806" s="7">
        <f t="shared" si="160"/>
        <v>8.589189358737249</v>
      </c>
      <c r="BI806" s="10">
        <f t="shared" si="161"/>
        <v>-3.5308821808487143</v>
      </c>
      <c r="BJ806">
        <f t="shared" si="162"/>
        <v>18.549051164784778</v>
      </c>
    </row>
    <row r="807" spans="42:62" x14ac:dyDescent="0.25">
      <c r="AP807" s="1">
        <v>802</v>
      </c>
      <c r="AQ807" s="7">
        <f t="shared" si="151"/>
        <v>50809.010070306576</v>
      </c>
      <c r="AR807" s="7">
        <f t="shared" si="152"/>
        <v>-252726.54793345032</v>
      </c>
      <c r="AS807" s="7"/>
      <c r="AT807" s="7">
        <f t="shared" si="153"/>
        <v>854.36413153430055</v>
      </c>
      <c r="AU807" s="7">
        <f t="shared" si="154"/>
        <v>-1557.4106478089243</v>
      </c>
      <c r="AV807" s="7"/>
      <c r="AX807" s="7">
        <f t="shared" si="155"/>
        <v>-0.89455235297605995</v>
      </c>
      <c r="AY807" s="7">
        <f t="shared" si="156"/>
        <v>7.5557854741026738</v>
      </c>
      <c r="BB807" s="7">
        <f t="shared" si="157"/>
        <v>-0.6306059969044242</v>
      </c>
      <c r="BC807" s="7">
        <f t="shared" si="158"/>
        <v>2.3397719655779698</v>
      </c>
      <c r="BF807" s="7">
        <f t="shared" si="159"/>
        <v>-2.0018425004500964</v>
      </c>
      <c r="BG807" s="7">
        <f t="shared" si="160"/>
        <v>8.5271375811711057</v>
      </c>
      <c r="BI807" s="10">
        <f t="shared" si="161"/>
        <v>-3.5270008503305803</v>
      </c>
      <c r="BJ807">
        <f t="shared" si="162"/>
        <v>18.422695020851748</v>
      </c>
    </row>
    <row r="808" spans="42:62" x14ac:dyDescent="0.25">
      <c r="AP808" s="1">
        <v>803</v>
      </c>
      <c r="AQ808" s="7">
        <f t="shared" si="151"/>
        <v>51235.75126096743</v>
      </c>
      <c r="AR808" s="7">
        <f t="shared" si="152"/>
        <v>-253502.95042047717</v>
      </c>
      <c r="AS808" s="7"/>
      <c r="AT808" s="7">
        <f t="shared" si="153"/>
        <v>852.60063110913529</v>
      </c>
      <c r="AU808" s="7">
        <f t="shared" si="154"/>
        <v>-1548.1993002984984</v>
      </c>
      <c r="AV808" s="7"/>
      <c r="AX808" s="7">
        <f t="shared" si="155"/>
        <v>-0.898479693262629</v>
      </c>
      <c r="AY808" s="7">
        <f t="shared" si="156"/>
        <v>7.5076103941022483</v>
      </c>
      <c r="BB808" s="7">
        <f t="shared" si="157"/>
        <v>-0.62842748094826861</v>
      </c>
      <c r="BC808" s="7">
        <f t="shared" si="158"/>
        <v>2.3245700708418156</v>
      </c>
      <c r="BF808" s="7">
        <f t="shared" si="159"/>
        <v>-1.9961801406236841</v>
      </c>
      <c r="BG808" s="7">
        <f t="shared" si="160"/>
        <v>8.4660530433771157</v>
      </c>
      <c r="BI808" s="10">
        <f t="shared" si="161"/>
        <v>-3.5230873148345818</v>
      </c>
      <c r="BJ808">
        <f t="shared" si="162"/>
        <v>18.298233508321179</v>
      </c>
    </row>
    <row r="809" spans="42:62" x14ac:dyDescent="0.25">
      <c r="AP809" s="1">
        <v>804</v>
      </c>
      <c r="AQ809" s="7">
        <f t="shared" si="151"/>
        <v>51661.61119060764</v>
      </c>
      <c r="AR809" s="7">
        <f t="shared" si="152"/>
        <v>-254274.76279143788</v>
      </c>
      <c r="AS809" s="7"/>
      <c r="AT809" s="7">
        <f t="shared" si="153"/>
        <v>850.839087451718</v>
      </c>
      <c r="AU809" s="7">
        <f t="shared" si="154"/>
        <v>-1539.0501835443379</v>
      </c>
      <c r="AV809" s="7"/>
      <c r="AX809" s="7">
        <f t="shared" si="155"/>
        <v>-0.90230055372997442</v>
      </c>
      <c r="AY809" s="7">
        <f t="shared" si="156"/>
        <v>7.4601229860758078</v>
      </c>
      <c r="BB809" s="7">
        <f t="shared" si="157"/>
        <v>-0.62627581932434651</v>
      </c>
      <c r="BC809" s="7">
        <f t="shared" si="158"/>
        <v>2.3095893441989426</v>
      </c>
      <c r="BF809" s="7">
        <f t="shared" si="159"/>
        <v>-1.9905679480806768</v>
      </c>
      <c r="BG809" s="7">
        <f t="shared" si="160"/>
        <v>8.4059147558478653</v>
      </c>
      <c r="BI809" s="10">
        <f t="shared" si="161"/>
        <v>-3.5191443211349975</v>
      </c>
      <c r="BJ809">
        <f t="shared" si="162"/>
        <v>18.175627086122617</v>
      </c>
    </row>
    <row r="810" spans="42:62" x14ac:dyDescent="0.25">
      <c r="AP810" s="1">
        <v>805</v>
      </c>
      <c r="AQ810" s="7">
        <f t="shared" si="151"/>
        <v>52086.590841293357</v>
      </c>
      <c r="AR810" s="7">
        <f t="shared" si="152"/>
        <v>-255042.01592982429</v>
      </c>
      <c r="AS810" s="7"/>
      <c r="AT810" s="7">
        <f t="shared" si="153"/>
        <v>849.07951529115053</v>
      </c>
      <c r="AU810" s="7">
        <f t="shared" si="154"/>
        <v>-1529.9623700012767</v>
      </c>
      <c r="AV810" s="7"/>
      <c r="AX810" s="7">
        <f t="shared" si="155"/>
        <v>-0.90601816096329446</v>
      </c>
      <c r="AY810" s="7">
        <f t="shared" si="156"/>
        <v>7.4133096789520856</v>
      </c>
      <c r="BB810" s="7">
        <f t="shared" si="157"/>
        <v>-0.62415059435970366</v>
      </c>
      <c r="BC810" s="7">
        <f t="shared" si="158"/>
        <v>2.2948252905605964</v>
      </c>
      <c r="BF810" s="7">
        <f t="shared" si="159"/>
        <v>-1.9850057435600303</v>
      </c>
      <c r="BG810" s="7">
        <f t="shared" si="160"/>
        <v>8.3467023217607554</v>
      </c>
      <c r="BI810" s="10">
        <f t="shared" si="161"/>
        <v>-3.5151744988830282</v>
      </c>
      <c r="BJ810">
        <f t="shared" si="162"/>
        <v>18.054837291273437</v>
      </c>
    </row>
    <row r="811" spans="42:62" x14ac:dyDescent="0.25">
      <c r="AP811" s="1">
        <v>806</v>
      </c>
      <c r="AQ811" s="7">
        <f t="shared" si="151"/>
        <v>52510.691202126567</v>
      </c>
      <c r="AR811" s="7">
        <f t="shared" si="152"/>
        <v>-255804.74026016353</v>
      </c>
      <c r="AS811" s="7"/>
      <c r="AT811" s="7">
        <f t="shared" si="153"/>
        <v>847.32192804170904</v>
      </c>
      <c r="AU811" s="7">
        <f t="shared" si="154"/>
        <v>-1520.9349513556399</v>
      </c>
      <c r="AV811" s="7"/>
      <c r="AX811" s="7">
        <f t="shared" si="155"/>
        <v>-0.90963563440256667</v>
      </c>
      <c r="AY811" s="7">
        <f t="shared" si="156"/>
        <v>7.3671572517070993</v>
      </c>
      <c r="BB811" s="7">
        <f t="shared" si="157"/>
        <v>-0.62205139744727544</v>
      </c>
      <c r="BC811" s="7">
        <f t="shared" si="158"/>
        <v>2.2802735346438907</v>
      </c>
      <c r="BF811" s="7">
        <f t="shared" si="159"/>
        <v>-1.9794933338993905</v>
      </c>
      <c r="BG811" s="7">
        <f t="shared" si="160"/>
        <v>8.2883959165272927</v>
      </c>
      <c r="BI811" s="10">
        <f t="shared" si="161"/>
        <v>-3.5111803657492326</v>
      </c>
      <c r="BJ811">
        <f t="shared" si="162"/>
        <v>17.935826702878284</v>
      </c>
    </row>
    <row r="812" spans="42:62" x14ac:dyDescent="0.25">
      <c r="AP812" s="1">
        <v>807</v>
      </c>
      <c r="AQ812" s="7">
        <f t="shared" si="151"/>
        <v>52933.913268601704</v>
      </c>
      <c r="AR812" s="7">
        <f t="shared" si="152"/>
        <v>-256562.96575750347</v>
      </c>
      <c r="AS812" s="7"/>
      <c r="AT812" s="7">
        <f t="shared" si="153"/>
        <v>845.56633785883446</v>
      </c>
      <c r="AU812" s="7">
        <f t="shared" si="154"/>
        <v>-1511.9670380042007</v>
      </c>
      <c r="AV812" s="7"/>
      <c r="AX812" s="7">
        <f t="shared" si="155"/>
        <v>-0.91315599043383877</v>
      </c>
      <c r="AY812" s="7">
        <f t="shared" si="156"/>
        <v>7.3216528223227382</v>
      </c>
      <c r="BB812" s="7">
        <f t="shared" si="157"/>
        <v>-0.61997782880299801</v>
      </c>
      <c r="BC812" s="7">
        <f t="shared" si="158"/>
        <v>2.2659298170522173</v>
      </c>
      <c r="BF812" s="7">
        <f t="shared" si="159"/>
        <v>-1.9740305130838258</v>
      </c>
      <c r="BG812" s="7">
        <f t="shared" si="160"/>
        <v>8.2309762681744107</v>
      </c>
      <c r="BI812" s="10">
        <f t="shared" si="161"/>
        <v>-3.5071643323206625</v>
      </c>
      <c r="BJ812">
        <f t="shared" si="162"/>
        <v>17.818558907549367</v>
      </c>
    </row>
    <row r="813" spans="42:62" x14ac:dyDescent="0.25">
      <c r="AP813" s="1">
        <v>808</v>
      </c>
      <c r="AQ813" s="7">
        <f t="shared" si="151"/>
        <v>53356.258041989582</v>
      </c>
      <c r="AR813" s="7">
        <f t="shared" si="152"/>
        <v>-257316.72195664211</v>
      </c>
      <c r="AS813" s="7"/>
      <c r="AT813" s="7">
        <f t="shared" si="153"/>
        <v>843.81275569267416</v>
      </c>
      <c r="AU813" s="7">
        <f t="shared" si="154"/>
        <v>-1503.0577585504261</v>
      </c>
      <c r="AV813" s="7"/>
      <c r="AX813" s="7">
        <f t="shared" si="155"/>
        <v>-0.91658214630309265</v>
      </c>
      <c r="AY813" s="7">
        <f t="shared" si="156"/>
        <v>7.2767838371564109</v>
      </c>
      <c r="BB813" s="7">
        <f t="shared" si="157"/>
        <v>-0.61792949723070578</v>
      </c>
      <c r="BC813" s="7">
        <f t="shared" si="158"/>
        <v>2.2517899905073744</v>
      </c>
      <c r="BF813" s="7">
        <f t="shared" si="159"/>
        <v>-1.96861706323184</v>
      </c>
      <c r="BG813" s="7">
        <f t="shared" si="160"/>
        <v>8.1744246385196693</v>
      </c>
      <c r="BI813" s="10">
        <f t="shared" si="161"/>
        <v>-3.5031287067656387</v>
      </c>
      <c r="BJ813">
        <f t="shared" si="162"/>
        <v>17.702998466183455</v>
      </c>
    </row>
    <row r="814" spans="42:62" x14ac:dyDescent="0.25">
      <c r="AP814" s="1">
        <v>809</v>
      </c>
      <c r="AQ814" s="7">
        <f t="shared" si="151"/>
        <v>53777.726528747575</v>
      </c>
      <c r="AR814" s="7">
        <f t="shared" si="152"/>
        <v>-258066.03796110908</v>
      </c>
      <c r="AS814" s="7"/>
      <c r="AT814" s="7">
        <f t="shared" si="153"/>
        <v>842.06119133929133</v>
      </c>
      <c r="AU814" s="7">
        <f t="shared" si="154"/>
        <v>-1494.2062593173343</v>
      </c>
      <c r="AV814" s="7"/>
      <c r="AX814" s="7">
        <f t="shared" si="155"/>
        <v>-0.91991692386145574</v>
      </c>
      <c r="AY814" s="7">
        <f t="shared" si="156"/>
        <v>7.2325380607051848</v>
      </c>
      <c r="BB814" s="7">
        <f t="shared" si="157"/>
        <v>-0.61590601989457594</v>
      </c>
      <c r="BC814" s="7">
        <f t="shared" si="158"/>
        <v>2.2378500162268113</v>
      </c>
      <c r="BF814" s="7">
        <f t="shared" si="159"/>
        <v>-1.9632527555222123</v>
      </c>
      <c r="BG814" s="7">
        <f t="shared" si="160"/>
        <v>8.1187228051023794</v>
      </c>
      <c r="BI814" s="10">
        <f t="shared" si="161"/>
        <v>-3.4990756992782437</v>
      </c>
      <c r="BJ814">
        <f t="shared" si="162"/>
        <v>17.589110882034376</v>
      </c>
    </row>
    <row r="815" spans="42:62" x14ac:dyDescent="0.25">
      <c r="AP815" s="1">
        <v>810</v>
      </c>
      <c r="AQ815" s="7">
        <f t="shared" si="151"/>
        <v>54198.319739954808</v>
      </c>
      <c r="AR815" s="7">
        <f t="shared" si="152"/>
        <v>-258810.9424519075</v>
      </c>
      <c r="AS815" s="7"/>
      <c r="AT815" s="7">
        <f t="shared" si="153"/>
        <v>840.31165348965226</v>
      </c>
      <c r="AU815" s="7">
        <f t="shared" si="154"/>
        <v>-1485.4117038763172</v>
      </c>
      <c r="AV815" s="7"/>
      <c r="AX815" s="7">
        <f t="shared" si="155"/>
        <v>-0.92316305314965297</v>
      </c>
      <c r="AY815" s="7">
        <f t="shared" si="156"/>
        <v>7.1889035657454592</v>
      </c>
      <c r="BB815" s="7">
        <f t="shared" si="157"/>
        <v>-0.61390702209882908</v>
      </c>
      <c r="BC815" s="7">
        <f t="shared" si="158"/>
        <v>2.2241059604395126</v>
      </c>
      <c r="BF815" s="7">
        <f t="shared" si="159"/>
        <v>-1.9579373510655202</v>
      </c>
      <c r="BG815" s="7">
        <f t="shared" si="160"/>
        <v>8.0638530438370886</v>
      </c>
      <c r="BI815" s="10">
        <f t="shared" si="161"/>
        <v>-3.4950074263140021</v>
      </c>
      <c r="BJ815">
        <f t="shared" si="162"/>
        <v>17.47686257002206</v>
      </c>
    </row>
    <row r="816" spans="42:62" x14ac:dyDescent="0.25">
      <c r="AP816" s="1">
        <v>811</v>
      </c>
      <c r="AQ816" s="7">
        <f t="shared" si="151"/>
        <v>54618.038690771347</v>
      </c>
      <c r="AR816" s="7">
        <f t="shared" si="152"/>
        <v>-259551.46369602441</v>
      </c>
      <c r="AS816" s="7"/>
      <c r="AT816" s="7">
        <f t="shared" si="153"/>
        <v>838.56414977649524</v>
      </c>
      <c r="AU816" s="7">
        <f t="shared" si="154"/>
        <v>-1476.6732725913062</v>
      </c>
      <c r="AV816" s="7"/>
      <c r="AX816" s="7">
        <f t="shared" si="155"/>
        <v>-0.92632317582980861</v>
      </c>
      <c r="AY816" s="7">
        <f t="shared" si="156"/>
        <v>7.1458687238352088</v>
      </c>
      <c r="BB816" s="7">
        <f t="shared" si="157"/>
        <v>-0.6119321370744234</v>
      </c>
      <c r="BC816" s="7">
        <f t="shared" si="158"/>
        <v>2.2105539910344421</v>
      </c>
      <c r="BF816" s="7">
        <f t="shared" si="159"/>
        <v>-1.9526706017233024</v>
      </c>
      <c r="BG816" s="7">
        <f t="shared" si="160"/>
        <v>8.0097981123547086</v>
      </c>
      <c r="BI816" s="10">
        <f t="shared" si="161"/>
        <v>-3.4909259146275344</v>
      </c>
      <c r="BJ816">
        <f t="shared" si="162"/>
        <v>17.36622082722436</v>
      </c>
    </row>
    <row r="817" spans="42:62" x14ac:dyDescent="0.25">
      <c r="AP817" s="1">
        <v>812</v>
      </c>
      <c r="AQ817" s="7">
        <f t="shared" si="151"/>
        <v>55036.884399920265</v>
      </c>
      <c r="AR817" s="7">
        <f t="shared" si="152"/>
        <v>-260287.62955471667</v>
      </c>
      <c r="AS817" s="7"/>
      <c r="AT817" s="7">
        <f t="shared" si="153"/>
        <v>836.81868681918149</v>
      </c>
      <c r="AU817" s="7">
        <f t="shared" si="154"/>
        <v>-1467.9901621776939</v>
      </c>
      <c r="AV817" s="7"/>
      <c r="AX817" s="7">
        <f t="shared" si="155"/>
        <v>-0.92939984847152246</v>
      </c>
      <c r="AY817" s="7">
        <f t="shared" si="156"/>
        <v>7.1034221961604613</v>
      </c>
      <c r="BB817" s="7">
        <f t="shared" si="157"/>
        <v>-0.60998100577243142</v>
      </c>
      <c r="BC817" s="7">
        <f t="shared" si="158"/>
        <v>2.1971903743355261</v>
      </c>
      <c r="BF817" s="7">
        <f t="shared" si="159"/>
        <v>-1.9474522508782734</v>
      </c>
      <c r="BG817" s="7">
        <f t="shared" si="160"/>
        <v>7.9565412340012012</v>
      </c>
      <c r="BI817" s="10">
        <f t="shared" si="161"/>
        <v>-3.4868331051222272</v>
      </c>
      <c r="BJ817">
        <f t="shared" si="162"/>
        <v>17.257153804497189</v>
      </c>
    </row>
    <row r="818" spans="42:62" x14ac:dyDescent="0.25">
      <c r="AP818" s="1">
        <v>813</v>
      </c>
      <c r="AQ818" s="7">
        <f t="shared" si="151"/>
        <v>55454.85788919172</v>
      </c>
      <c r="AR818" s="7">
        <f t="shared" si="152"/>
        <v>-261019.46749157997</v>
      </c>
      <c r="AS818" s="7"/>
      <c r="AT818" s="7">
        <f t="shared" si="153"/>
        <v>835.07527026662035</v>
      </c>
      <c r="AU818" s="7">
        <f t="shared" si="154"/>
        <v>-1459.3615852754453</v>
      </c>
      <c r="AV818" s="7"/>
      <c r="AX818" s="7">
        <f t="shared" si="155"/>
        <v>-0.93239554569947025</v>
      </c>
      <c r="AY818" s="7">
        <f t="shared" si="156"/>
        <v>7.0615529247140509</v>
      </c>
      <c r="BB818" s="7">
        <f t="shared" si="157"/>
        <v>-0.60805327666394915</v>
      </c>
      <c r="BC818" s="7">
        <f t="shared" si="158"/>
        <v>2.1840114719980046</v>
      </c>
      <c r="BF818" s="7">
        <f t="shared" si="159"/>
        <v>-1.9422820341583356</v>
      </c>
      <c r="BG818" s="7">
        <f t="shared" si="160"/>
        <v>7.904066082463256</v>
      </c>
      <c r="BI818" s="10">
        <f t="shared" si="161"/>
        <v>-3.482730856521755</v>
      </c>
      <c r="BJ818">
        <f t="shared" si="162"/>
        <v>17.149630479175311</v>
      </c>
    </row>
    <row r="819" spans="42:62" x14ac:dyDescent="0.25">
      <c r="AP819" s="1">
        <v>814</v>
      </c>
      <c r="AQ819" s="7">
        <f t="shared" si="151"/>
        <v>55871.960182967967</v>
      </c>
      <c r="AR819" s="7">
        <f t="shared" si="152"/>
        <v>-261747.00458040778</v>
      </c>
      <c r="AS819" s="7"/>
      <c r="AT819" s="7">
        <f t="shared" si="153"/>
        <v>833.33390483835944</v>
      </c>
      <c r="AU819" s="7">
        <f t="shared" si="154"/>
        <v>-1450.7867700358577</v>
      </c>
      <c r="AV819" s="7"/>
      <c r="AX819" s="7">
        <f t="shared" si="155"/>
        <v>-0.93531266320891226</v>
      </c>
      <c r="AY819" s="7">
        <f t="shared" si="156"/>
        <v>7.020250123791465</v>
      </c>
      <c r="BB819" s="7">
        <f t="shared" si="157"/>
        <v>-0.60614860554621264</v>
      </c>
      <c r="BC819" s="7">
        <f t="shared" si="158"/>
        <v>2.1710137380205867</v>
      </c>
      <c r="BF819" s="7">
        <f t="shared" si="159"/>
        <v>-1.9371596801172397</v>
      </c>
      <c r="BG819" s="7">
        <f t="shared" si="160"/>
        <v>7.8523567669932106</v>
      </c>
      <c r="BI819" s="10">
        <f t="shared" si="161"/>
        <v>-3.4786209488723649</v>
      </c>
      <c r="BJ819">
        <f t="shared" si="162"/>
        <v>17.043620628805265</v>
      </c>
    </row>
    <row r="820" spans="42:62" x14ac:dyDescent="0.25">
      <c r="AP820" s="1">
        <v>815</v>
      </c>
      <c r="AQ820" s="7">
        <f t="shared" si="151"/>
        <v>56288.192307768542</v>
      </c>
      <c r="AR820" s="7">
        <f t="shared" si="152"/>
        <v>-262470.26751284709</v>
      </c>
      <c r="AS820" s="7"/>
      <c r="AT820" s="7">
        <f t="shared" si="153"/>
        <v>831.59459436392331</v>
      </c>
      <c r="AU820" s="7">
        <f t="shared" si="154"/>
        <v>-1442.2649597214549</v>
      </c>
      <c r="AV820" s="7"/>
      <c r="AX820" s="7">
        <f t="shared" si="155"/>
        <v>-0.93815352065535207</v>
      </c>
      <c r="AY820" s="7">
        <f t="shared" si="156"/>
        <v>6.9795032717908123</v>
      </c>
      <c r="BB820" s="7">
        <f t="shared" si="157"/>
        <v>-0.60426665535474178</v>
      </c>
      <c r="BC820" s="7">
        <f t="shared" si="158"/>
        <v>2.1581937158685811</v>
      </c>
      <c r="BF820" s="7">
        <f t="shared" si="159"/>
        <v>-1.9320849108742346</v>
      </c>
      <c r="BG820" s="7">
        <f t="shared" si="160"/>
        <v>7.8013978182054613</v>
      </c>
      <c r="BI820" s="10">
        <f t="shared" si="161"/>
        <v>-3.4745050868843284</v>
      </c>
      <c r="BJ820">
        <f t="shared" si="162"/>
        <v>16.939094805864855</v>
      </c>
    </row>
    <row r="821" spans="42:62" x14ac:dyDescent="0.25">
      <c r="AP821" s="1">
        <v>816</v>
      </c>
      <c r="AQ821" s="7">
        <f t="shared" si="151"/>
        <v>56703.555291814642</v>
      </c>
      <c r="AR821" s="7">
        <f t="shared" si="152"/>
        <v>-263189.28260585706</v>
      </c>
      <c r="AS821" s="7"/>
      <c r="AT821" s="7">
        <f t="shared" si="153"/>
        <v>829.85734182048111</v>
      </c>
      <c r="AU821" s="7">
        <f t="shared" si="154"/>
        <v>-1433.7954123185225</v>
      </c>
      <c r="AV821" s="7"/>
      <c r="AX821" s="7">
        <f t="shared" si="155"/>
        <v>-0.94092036442426941</v>
      </c>
      <c r="AY821" s="7">
        <f t="shared" si="156"/>
        <v>6.9393021033046294</v>
      </c>
      <c r="BB821" s="7">
        <f t="shared" si="157"/>
        <v>-0.60240709598127384</v>
      </c>
      <c r="BC821" s="7">
        <f t="shared" si="158"/>
        <v>2.1455480357031629</v>
      </c>
      <c r="BF821" s="7">
        <f t="shared" si="159"/>
        <v>-1.9270574427154497</v>
      </c>
      <c r="BG821" s="7">
        <f t="shared" si="160"/>
        <v>7.7511741744202372</v>
      </c>
      <c r="BI821" s="10">
        <f t="shared" si="161"/>
        <v>-3.4703849031209932</v>
      </c>
      <c r="BJ821">
        <f t="shared" si="162"/>
        <v>16.83602431342803</v>
      </c>
    </row>
    <row r="822" spans="42:62" x14ac:dyDescent="0.25">
      <c r="AP822" s="1">
        <v>817</v>
      </c>
      <c r="AQ822" s="7">
        <f t="shared" si="151"/>
        <v>57118.050164611988</v>
      </c>
      <c r="AR822" s="7">
        <f t="shared" si="152"/>
        <v>-263904.07580897718</v>
      </c>
      <c r="AS822" s="7"/>
      <c r="AT822" s="7">
        <f t="shared" si="153"/>
        <v>828.12214936892065</v>
      </c>
      <c r="AU822" s="7">
        <f t="shared" si="154"/>
        <v>-1425.3774001618085</v>
      </c>
      <c r="AV822" s="7"/>
      <c r="AX822" s="7">
        <f t="shared" si="155"/>
        <v>-0.94361537028659592</v>
      </c>
      <c r="AY822" s="7">
        <f t="shared" si="156"/>
        <v>6.8996366014921708</v>
      </c>
      <c r="BB822" s="7">
        <f t="shared" si="157"/>
        <v>-0.60056960409728666</v>
      </c>
      <c r="BC822" s="7">
        <f t="shared" si="158"/>
        <v>2.1330734117123189</v>
      </c>
      <c r="BF822" s="7">
        <f t="shared" si="159"/>
        <v>-1.9220769866589802</v>
      </c>
      <c r="BG822" s="7">
        <f t="shared" si="160"/>
        <v>7.7016711685294332</v>
      </c>
      <c r="BI822" s="10">
        <f t="shared" si="161"/>
        <v>-3.4662619610428629</v>
      </c>
      <c r="BJ822">
        <f t="shared" si="162"/>
        <v>16.734381181733923</v>
      </c>
    </row>
    <row r="823" spans="42:62" x14ac:dyDescent="0.25">
      <c r="AP823" s="1">
        <v>818</v>
      </c>
      <c r="AQ823" s="7">
        <f t="shared" si="151"/>
        <v>57531.677956551321</v>
      </c>
      <c r="AR823" s="7">
        <f t="shared" si="152"/>
        <v>-264614.67271141039</v>
      </c>
      <c r="AS823" s="7"/>
      <c r="AT823" s="7">
        <f t="shared" si="153"/>
        <v>826.38901838839922</v>
      </c>
      <c r="AU823" s="7">
        <f t="shared" si="154"/>
        <v>-1417.0102095709415</v>
      </c>
      <c r="AV823" s="7"/>
      <c r="AX823" s="7">
        <f t="shared" si="155"/>
        <v>-0.94624064594497515</v>
      </c>
      <c r="AY823" s="7">
        <f t="shared" si="156"/>
        <v>6.8604969907188806</v>
      </c>
      <c r="BB823" s="7">
        <f t="shared" si="157"/>
        <v>-0.5987538629829231</v>
      </c>
      <c r="BC823" s="7">
        <f t="shared" si="158"/>
        <v>2.1207666395391649</v>
      </c>
      <c r="BF823" s="7">
        <f t="shared" si="159"/>
        <v>-1.9171432489859244</v>
      </c>
      <c r="BG823" s="7">
        <f t="shared" si="160"/>
        <v>7.6528745153619377</v>
      </c>
      <c r="BI823" s="10">
        <f t="shared" si="161"/>
        <v>-3.4621377579138226</v>
      </c>
      <c r="BJ823">
        <f t="shared" si="162"/>
        <v>16.634138145619985</v>
      </c>
    </row>
    <row r="824" spans="42:62" x14ac:dyDescent="0.25">
      <c r="AP824" s="1">
        <v>819</v>
      </c>
      <c r="AQ824" s="7">
        <f t="shared" si="151"/>
        <v>57944.439698525777</v>
      </c>
      <c r="AR824" s="7">
        <f t="shared" si="152"/>
        <v>-265321.09854892769</v>
      </c>
      <c r="AS824" s="7"/>
      <c r="AT824" s="7">
        <f t="shared" si="153"/>
        <v>824.65794950944235</v>
      </c>
      <c r="AU824" s="7">
        <f t="shared" si="154"/>
        <v>-1408.6931404981315</v>
      </c>
      <c r="AV824" s="7"/>
      <c r="AX824" s="7">
        <f t="shared" si="155"/>
        <v>-0.94879823347615555</v>
      </c>
      <c r="AY824" s="7">
        <f t="shared" si="156"/>
        <v>6.8218737294545866</v>
      </c>
      <c r="BB824" s="7">
        <f t="shared" si="157"/>
        <v>-0.59695956236110848</v>
      </c>
      <c r="BC824" s="7">
        <f t="shared" si="158"/>
        <v>2.108624593803528</v>
      </c>
      <c r="BF824" s="7">
        <f t="shared" si="159"/>
        <v>-1.9122559317393106</v>
      </c>
      <c r="BG824" s="7">
        <f t="shared" si="160"/>
        <v>7.6047702995265301</v>
      </c>
      <c r="BI824" s="10">
        <f t="shared" si="161"/>
        <v>-3.4580137275765743</v>
      </c>
      <c r="BJ824">
        <f t="shared" si="162"/>
        <v>16.535268622784645</v>
      </c>
    </row>
    <row r="825" spans="42:62" x14ac:dyDescent="0.25">
      <c r="AP825" s="1">
        <v>820</v>
      </c>
      <c r="AQ825" s="7">
        <f t="shared" si="151"/>
        <v>58356.336421564556</v>
      </c>
      <c r="AR825" s="7">
        <f t="shared" si="152"/>
        <v>-266023.37821059889</v>
      </c>
      <c r="AS825" s="7"/>
      <c r="AT825" s="7">
        <f t="shared" si="153"/>
        <v>822.92894264565405</v>
      </c>
      <c r="AU825" s="7">
        <f t="shared" si="154"/>
        <v>-1400.4255061867391</v>
      </c>
      <c r="AV825" s="7"/>
      <c r="AX825" s="7">
        <f t="shared" si="155"/>
        <v>-0.95129011167403887</v>
      </c>
      <c r="AY825" s="7">
        <f t="shared" si="156"/>
        <v>6.7837575034181903</v>
      </c>
      <c r="BB825" s="7">
        <f t="shared" si="157"/>
        <v>-0.59518639823666175</v>
      </c>
      <c r="BC825" s="7">
        <f t="shared" si="158"/>
        <v>2.0966442257127915</v>
      </c>
      <c r="BF825" s="7">
        <f t="shared" si="159"/>
        <v>-1.9074147331928122</v>
      </c>
      <c r="BG825" s="7">
        <f t="shared" si="160"/>
        <v>7.5573449637115875</v>
      </c>
      <c r="BI825" s="10">
        <f t="shared" si="161"/>
        <v>-3.4538912431035129</v>
      </c>
      <c r="BJ825">
        <f t="shared" si="162"/>
        <v>16.43774669284257</v>
      </c>
    </row>
    <row r="826" spans="42:62" x14ac:dyDescent="0.25">
      <c r="AP826" s="1">
        <v>821</v>
      </c>
      <c r="AQ826" s="7">
        <f t="shared" si="151"/>
        <v>58767.369156481996</v>
      </c>
      <c r="AR826" s="7">
        <f t="shared" si="152"/>
        <v>-266721.53624535567</v>
      </c>
      <c r="AS826" s="7"/>
      <c r="AT826" s="7">
        <f t="shared" si="153"/>
        <v>821.2019970241023</v>
      </c>
      <c r="AU826" s="7">
        <f t="shared" si="154"/>
        <v>-1392.2066328403178</v>
      </c>
      <c r="AV826" s="7"/>
      <c r="AX826" s="7">
        <f t="shared" si="155"/>
        <v>-0.95371819829802473</v>
      </c>
      <c r="AY826" s="7">
        <f t="shared" si="156"/>
        <v>6.7461392189598355</v>
      </c>
      <c r="BB826" s="7">
        <f t="shared" si="157"/>
        <v>-0.59343407274027704</v>
      </c>
      <c r="BC826" s="7">
        <f t="shared" si="158"/>
        <v>2.0848225607585094</v>
      </c>
      <c r="BF826" s="7">
        <f t="shared" si="159"/>
        <v>-1.9026193482910581</v>
      </c>
      <c r="BG826" s="7">
        <f t="shared" si="160"/>
        <v>7.5105852974221214</v>
      </c>
      <c r="BI826" s="10">
        <f t="shared" si="161"/>
        <v>-3.4497716193293595</v>
      </c>
      <c r="BJ826">
        <f t="shared" si="162"/>
        <v>16.341547077140465</v>
      </c>
    </row>
    <row r="827" spans="42:62" x14ac:dyDescent="0.25">
      <c r="AP827" s="1">
        <v>822</v>
      </c>
      <c r="AQ827" s="7">
        <f t="shared" si="151"/>
        <v>59177.538933541633</v>
      </c>
      <c r="AR827" s="7">
        <f t="shared" si="152"/>
        <v>-267415.59686839121</v>
      </c>
      <c r="AS827" s="7"/>
      <c r="AT827" s="7">
        <f t="shared" si="153"/>
        <v>819.47711121443763</v>
      </c>
      <c r="AU827" s="7">
        <f t="shared" si="154"/>
        <v>-1384.0358593017475</v>
      </c>
      <c r="AV827" s="7"/>
      <c r="AX827" s="7">
        <f t="shared" si="155"/>
        <v>-0.95608435223093369</v>
      </c>
      <c r="AY827" s="7">
        <f t="shared" si="156"/>
        <v>6.7090099966709529</v>
      </c>
      <c r="BB827" s="7">
        <f t="shared" si="157"/>
        <v>-0.59170229397714003</v>
      </c>
      <c r="BC827" s="7">
        <f t="shared" si="158"/>
        <v>2.0731566964949897</v>
      </c>
      <c r="BF827" s="7">
        <f t="shared" si="159"/>
        <v>-1.8978694690630649</v>
      </c>
      <c r="BG827" s="7">
        <f t="shared" si="160"/>
        <v>7.46447842613484</v>
      </c>
      <c r="BI827" s="10">
        <f t="shared" si="161"/>
        <v>-3.4456561152711389</v>
      </c>
      <c r="BJ827">
        <f t="shared" si="162"/>
        <v>16.246645119300783</v>
      </c>
    </row>
    <row r="828" spans="42:62" x14ac:dyDescent="0.25">
      <c r="AP828" s="1">
        <v>823</v>
      </c>
      <c r="AQ828" s="7">
        <f t="shared" si="151"/>
        <v>59586.846782134446</v>
      </c>
      <c r="AR828" s="7">
        <f t="shared" si="152"/>
        <v>-268105.58396740217</v>
      </c>
      <c r="AS828" s="7"/>
      <c r="AT828" s="7">
        <f t="shared" si="153"/>
        <v>817.7542831568021</v>
      </c>
      <c r="AU828" s="7">
        <f t="shared" si="154"/>
        <v>-1375.912536742097</v>
      </c>
      <c r="AV828" s="7"/>
      <c r="AX828" s="7">
        <f t="shared" si="155"/>
        <v>-0.95839037555056761</v>
      </c>
      <c r="AY828" s="7">
        <f t="shared" si="156"/>
        <v>6.672361165213025</v>
      </c>
      <c r="BB828" s="7">
        <f t="shared" si="157"/>
        <v>-0.58999077588009141</v>
      </c>
      <c r="BC828" s="7">
        <f t="shared" si="158"/>
        <v>2.0616438003967508</v>
      </c>
      <c r="BF828" s="7">
        <f t="shared" si="159"/>
        <v>-1.8931647850104472</v>
      </c>
      <c r="BG828" s="7">
        <f t="shared" si="160"/>
        <v>7.4190118008537826</v>
      </c>
      <c r="BI828" s="10">
        <f t="shared" si="161"/>
        <v>-3.4415459364411061</v>
      </c>
      <c r="BJ828">
        <f t="shared" si="162"/>
        <v>16.153016766463558</v>
      </c>
    </row>
    <row r="829" spans="42:62" x14ac:dyDescent="0.25">
      <c r="AP829" s="1">
        <v>824</v>
      </c>
      <c r="AQ829" s="7">
        <f t="shared" si="151"/>
        <v>59995.293730470788</v>
      </c>
      <c r="AR829" s="7">
        <f t="shared" si="152"/>
        <v>-268791.52110867738</v>
      </c>
      <c r="AS829" s="7"/>
      <c r="AT829" s="7">
        <f t="shared" si="153"/>
        <v>816.03351018858154</v>
      </c>
      <c r="AU829" s="7">
        <f t="shared" si="154"/>
        <v>-1367.8360283588652</v>
      </c>
      <c r="AV829" s="7"/>
      <c r="AX829" s="7">
        <f t="shared" si="155"/>
        <v>-0.96063801551876515</v>
      </c>
      <c r="AY829" s="7">
        <f t="shared" si="156"/>
        <v>6.6361842553563024</v>
      </c>
      <c r="BB829" s="7">
        <f t="shared" si="157"/>
        <v>-0.58829923806709628</v>
      </c>
      <c r="BC829" s="7">
        <f t="shared" si="158"/>
        <v>2.0502811077913203</v>
      </c>
      <c r="BF829" s="7">
        <f t="shared" si="159"/>
        <v>-1.888504983471798</v>
      </c>
      <c r="BG829" s="7">
        <f t="shared" si="160"/>
        <v>7.3741731880492809</v>
      </c>
      <c r="BI829" s="10">
        <f t="shared" si="161"/>
        <v>-3.4374422370576596</v>
      </c>
      <c r="BJ829">
        <f t="shared" si="162"/>
        <v>16.060638551196902</v>
      </c>
    </row>
    <row r="830" spans="42:62" x14ac:dyDescent="0.25">
      <c r="AP830" s="1">
        <v>825</v>
      </c>
      <c r="AQ830" s="7">
        <f t="shared" si="151"/>
        <v>60402.880805285451</v>
      </c>
      <c r="AR830" s="7">
        <f t="shared" si="152"/>
        <v>-269473.43154303794</v>
      </c>
      <c r="AS830" s="7"/>
      <c r="AT830" s="7">
        <f t="shared" si="153"/>
        <v>814.31478907005271</v>
      </c>
      <c r="AU830" s="7">
        <f t="shared" si="154"/>
        <v>-1359.8057090832667</v>
      </c>
      <c r="AV830" s="7"/>
      <c r="AX830" s="7">
        <f t="shared" si="155"/>
        <v>-0.96282896649174576</v>
      </c>
      <c r="AY830" s="7">
        <f t="shared" si="156"/>
        <v>6.6004709942210118</v>
      </c>
      <c r="BB830" s="7">
        <f t="shared" si="157"/>
        <v>-0.58662740570293692</v>
      </c>
      <c r="BC830" s="7">
        <f t="shared" si="158"/>
        <v>2.0390659198645569</v>
      </c>
      <c r="BF830" s="7">
        <f t="shared" si="159"/>
        <v>-1.8838897499646692</v>
      </c>
      <c r="BG830" s="7">
        <f t="shared" si="160"/>
        <v>7.329950659964247</v>
      </c>
      <c r="BI830" s="10">
        <f t="shared" si="161"/>
        <v>-3.4333461221593518</v>
      </c>
      <c r="BJ830">
        <f t="shared" si="162"/>
        <v>15.969487574049815</v>
      </c>
    </row>
    <row r="831" spans="42:62" x14ac:dyDescent="0.25">
      <c r="AP831" s="1">
        <v>826</v>
      </c>
      <c r="AQ831" s="7">
        <f t="shared" si="151"/>
        <v>60809.609031555206</v>
      </c>
      <c r="AR831" s="7">
        <f t="shared" si="152"/>
        <v>-270151.3382116328</v>
      </c>
      <c r="AS831" s="7"/>
      <c r="AT831" s="7">
        <f t="shared" si="153"/>
        <v>812.59811600897308</v>
      </c>
      <c r="AU831" s="7">
        <f t="shared" si="154"/>
        <v>-1351.8209652962419</v>
      </c>
      <c r="AV831" s="7"/>
      <c r="AX831" s="7">
        <f t="shared" si="155"/>
        <v>-0.96496487175509227</v>
      </c>
      <c r="AY831" s="7">
        <f t="shared" si="156"/>
        <v>6.5652132997121182</v>
      </c>
      <c r="BB831" s="7">
        <f t="shared" si="157"/>
        <v>-0.5849750093649535</v>
      </c>
      <c r="BC831" s="7">
        <f t="shared" si="158"/>
        <v>2.0279956017354364</v>
      </c>
      <c r="BF831" s="7">
        <f t="shared" si="159"/>
        <v>-1.879318768506349</v>
      </c>
      <c r="BG831" s="7">
        <f t="shared" si="160"/>
        <v>7.2863325852720218</v>
      </c>
      <c r="BI831" s="10">
        <f t="shared" si="161"/>
        <v>-3.4292586496263948</v>
      </c>
      <c r="BJ831">
        <f t="shared" si="162"/>
        <v>15.879541486719576</v>
      </c>
    </row>
    <row r="832" spans="42:62" x14ac:dyDescent="0.25">
      <c r="AP832" s="1">
        <v>827</v>
      </c>
      <c r="AQ832" s="7">
        <f t="shared" si="151"/>
        <v>61215.479432228487</v>
      </c>
      <c r="AR832" s="7">
        <f t="shared" si="152"/>
        <v>-270825.26375159511</v>
      </c>
      <c r="AS832" s="7"/>
      <c r="AT832" s="7">
        <f t="shared" si="153"/>
        <v>810.88348668415983</v>
      </c>
      <c r="AU832" s="7">
        <f t="shared" si="154"/>
        <v>-1343.8811945528821</v>
      </c>
      <c r="AV832" s="7"/>
      <c r="AX832" s="7">
        <f t="shared" si="155"/>
        <v>-0.96704732528677673</v>
      </c>
      <c r="AY832" s="7">
        <f t="shared" si="156"/>
        <v>6.5304032751406424</v>
      </c>
      <c r="BB832" s="7">
        <f t="shared" si="157"/>
        <v>-0.58334178491273203</v>
      </c>
      <c r="BC832" s="7">
        <f t="shared" si="158"/>
        <v>2.0170675805976614</v>
      </c>
      <c r="BF832" s="7">
        <f t="shared" si="159"/>
        <v>-1.8747917219148111</v>
      </c>
      <c r="BG832" s="7">
        <f t="shared" si="160"/>
        <v>7.2433076200717323</v>
      </c>
      <c r="BI832" s="10">
        <f t="shared" si="161"/>
        <v>-3.4251808321143198</v>
      </c>
      <c r="BJ832">
        <f t="shared" si="162"/>
        <v>15.790778475810036</v>
      </c>
    </row>
    <row r="833" spans="42:62" x14ac:dyDescent="0.25">
      <c r="AP833" s="1">
        <v>828</v>
      </c>
      <c r="AQ833" s="7">
        <f t="shared" si="151"/>
        <v>61620.493027966557</v>
      </c>
      <c r="AR833" s="7">
        <f t="shared" si="152"/>
        <v>-271495.23050156207</v>
      </c>
      <c r="AS833" s="7"/>
      <c r="AT833" s="7">
        <f t="shared" si="153"/>
        <v>809.17089626810264</v>
      </c>
      <c r="AU833" s="7">
        <f t="shared" si="154"/>
        <v>-1335.9858053149771</v>
      </c>
      <c r="AV833" s="7"/>
      <c r="AX833" s="7">
        <f t="shared" si="155"/>
        <v>-0.96907787345140217</v>
      </c>
      <c r="AY833" s="7">
        <f t="shared" si="156"/>
        <v>6.4960332040244184</v>
      </c>
      <c r="BB833" s="7">
        <f t="shared" si="157"/>
        <v>-0.58172747336150077</v>
      </c>
      <c r="BC833" s="7">
        <f t="shared" si="158"/>
        <v>2.0062793439250393</v>
      </c>
      <c r="BF833" s="7">
        <f t="shared" si="159"/>
        <v>-1.8703082920908183</v>
      </c>
      <c r="BG833" s="7">
        <f t="shared" si="160"/>
        <v>7.2008646992065035</v>
      </c>
      <c r="BI833" s="10">
        <f t="shared" si="161"/>
        <v>-3.4211136389037211</v>
      </c>
      <c r="BJ833">
        <f t="shared" si="162"/>
        <v>15.70317724715596</v>
      </c>
    </row>
    <row r="834" spans="42:62" x14ac:dyDescent="0.25">
      <c r="AP834" s="1">
        <v>829</v>
      </c>
      <c r="AQ834" s="7">
        <f t="shared" si="151"/>
        <v>62024.650836895744</v>
      </c>
      <c r="AR834" s="7">
        <f t="shared" si="152"/>
        <v>-272161.26050706365</v>
      </c>
      <c r="AS834" s="7"/>
      <c r="AT834" s="7">
        <f t="shared" si="153"/>
        <v>807.46033944865076</v>
      </c>
      <c r="AU834" s="7">
        <f t="shared" si="154"/>
        <v>-1328.1342166913992</v>
      </c>
      <c r="AV834" s="7"/>
      <c r="AX834" s="7">
        <f t="shared" si="155"/>
        <v>-0.97105801662870239</v>
      </c>
      <c r="AY834" s="7">
        <f t="shared" si="156"/>
        <v>6.4620955450615725</v>
      </c>
      <c r="BB834" s="7">
        <f t="shared" si="157"/>
        <v>-0.58013182075928516</v>
      </c>
      <c r="BC834" s="7">
        <f t="shared" si="158"/>
        <v>1.995628437738715</v>
      </c>
      <c r="BF834" s="7">
        <f t="shared" si="159"/>
        <v>-1.8658681602823015</v>
      </c>
      <c r="BG834" s="7">
        <f t="shared" si="160"/>
        <v>7.1589930278914062</v>
      </c>
      <c r="BI834" s="10">
        <f t="shared" si="161"/>
        <v>-3.4170579976702893</v>
      </c>
      <c r="BJ834">
        <f t="shared" si="162"/>
        <v>15.616717010691694</v>
      </c>
    </row>
    <row r="835" spans="42:62" x14ac:dyDescent="0.25">
      <c r="AP835" s="1">
        <v>830</v>
      </c>
      <c r="AQ835" s="7">
        <f t="shared" si="151"/>
        <v>62427.95387437036</v>
      </c>
      <c r="AR835" s="7">
        <f t="shared" si="152"/>
        <v>-272823.37552578299</v>
      </c>
      <c r="AS835" s="7"/>
      <c r="AT835" s="7">
        <f t="shared" si="153"/>
        <v>805.75181044981559</v>
      </c>
      <c r="AU835" s="7">
        <f t="shared" si="154"/>
        <v>-1320.3258581860532</v>
      </c>
      <c r="AV835" s="7"/>
      <c r="AX835" s="7">
        <f t="shared" si="155"/>
        <v>-0.97298921077900746</v>
      </c>
      <c r="AY835" s="7">
        <f t="shared" si="156"/>
        <v>6.4285829272691171</v>
      </c>
      <c r="BB835" s="7">
        <f t="shared" si="157"/>
        <v>-0.57855457806750243</v>
      </c>
      <c r="BC835" s="7">
        <f t="shared" si="158"/>
        <v>1.9851124649331364</v>
      </c>
      <c r="BF835" s="7">
        <f t="shared" si="159"/>
        <v>-1.8614710073320526</v>
      </c>
      <c r="BG835" s="7">
        <f t="shared" si="160"/>
        <v>7.1176820736384965</v>
      </c>
      <c r="BI835" s="10">
        <f t="shared" si="161"/>
        <v>-3.4130147961785626</v>
      </c>
      <c r="BJ835">
        <f t="shared" si="162"/>
        <v>15.53137746584075</v>
      </c>
    </row>
    <row r="836" spans="42:62" x14ac:dyDescent="0.25">
      <c r="AP836" s="1">
        <v>831</v>
      </c>
      <c r="AQ836" s="7">
        <f t="shared" si="151"/>
        <v>62830.403152745748</v>
      </c>
      <c r="AR836" s="7">
        <f t="shared" si="152"/>
        <v>-273481.59703269275</v>
      </c>
      <c r="AS836" s="7"/>
      <c r="AT836" s="7">
        <f t="shared" si="153"/>
        <v>804.04530305172636</v>
      </c>
      <c r="AU836" s="7">
        <f t="shared" si="154"/>
        <v>-1312.5601694531329</v>
      </c>
      <c r="AV836" s="7"/>
      <c r="AX836" s="7">
        <f t="shared" si="155"/>
        <v>-0.97487286894864089</v>
      </c>
      <c r="AY836" s="7">
        <f t="shared" si="156"/>
        <v>6.3954881452819512</v>
      </c>
      <c r="BB836" s="7">
        <f t="shared" si="157"/>
        <v>-0.57699550104504471</v>
      </c>
      <c r="BC836" s="7">
        <f t="shared" si="158"/>
        <v>1.9747290836590103</v>
      </c>
      <c r="BF836" s="7">
        <f t="shared" si="159"/>
        <v>-1.8571165139096921</v>
      </c>
      <c r="BG836" s="7">
        <f t="shared" si="160"/>
        <v>7.0769215584668501</v>
      </c>
      <c r="BI836" s="10">
        <f t="shared" si="161"/>
        <v>-3.4089848839033778</v>
      </c>
      <c r="BJ836">
        <f t="shared" si="162"/>
        <v>15.447138787407813</v>
      </c>
    </row>
    <row r="837" spans="42:62" x14ac:dyDescent="0.25">
      <c r="AP837" s="1">
        <v>832</v>
      </c>
      <c r="AQ837" s="7">
        <f t="shared" si="151"/>
        <v>63231.99968116112</v>
      </c>
      <c r="AR837" s="7">
        <f t="shared" si="152"/>
        <v>-274135.94622507092</v>
      </c>
      <c r="AS837" s="7"/>
      <c r="AT837" s="7">
        <f t="shared" si="153"/>
        <v>802.34081060977462</v>
      </c>
      <c r="AU837" s="7">
        <f t="shared" si="154"/>
        <v>-1304.836600059429</v>
      </c>
      <c r="AV837" s="7"/>
      <c r="AX837" s="7">
        <f t="shared" si="155"/>
        <v>-0.9767103627176027</v>
      </c>
      <c r="AY837" s="7">
        <f t="shared" si="156"/>
        <v>6.3628041548046275</v>
      </c>
      <c r="BB837" s="7">
        <f t="shared" si="157"/>
        <v>-0.57545435013561697</v>
      </c>
      <c r="BC837" s="7">
        <f t="shared" si="158"/>
        <v>1.9644760057606223</v>
      </c>
      <c r="BF837" s="7">
        <f t="shared" si="159"/>
        <v>-1.852804360728749</v>
      </c>
      <c r="BG837" s="7">
        <f t="shared" si="160"/>
        <v>7.0367014513858015</v>
      </c>
      <c r="BI837" s="10">
        <f t="shared" si="161"/>
        <v>-3.4049690735819689</v>
      </c>
      <c r="BJ837">
        <f t="shared" si="162"/>
        <v>15.363981611951051</v>
      </c>
    </row>
    <row r="838" spans="42:62" x14ac:dyDescent="0.25">
      <c r="AP838" s="1">
        <v>833</v>
      </c>
      <c r="AQ838" s="7">
        <f t="shared" ref="AQ838:AQ901" si="163">AQ837+(AT837*$R$7)+((1/2)*(BI837)*$R$7^2)</f>
        <v>63632.744465331809</v>
      </c>
      <c r="AR838" s="7">
        <f t="shared" ref="AR838:AR901" si="164">AR837+(AU837*$R$7)+((1/2)*(BJ837)*$R$7^2)</f>
        <v>-274786.44402739912</v>
      </c>
      <c r="AS838" s="7"/>
      <c r="AT838" s="7">
        <f t="shared" ref="AT838:AT901" si="165">AT837+(BI837)*$R$7</f>
        <v>800.63832607298366</v>
      </c>
      <c r="AU838" s="7">
        <f t="shared" ref="AU838:AU901" si="166">AU837+(BJ837)*$R$7</f>
        <v>-1297.1546092534534</v>
      </c>
      <c r="AV838" s="7"/>
      <c r="AX838" s="7">
        <f t="shared" ref="AX838:AX901" si="167">(($R$23-AQ838)/(($R$23-AQ838)^2+($S$23-AR838)^2+$R$28^2)^(3/2))*$R$27</f>
        <v>-0.97850302359221653</v>
      </c>
      <c r="AY838" s="7">
        <f t="shared" ref="AY838:AY901" si="168">(($S$23-AR838)/(($R$23-AQ838)^2+($S$23-AR838)^2+$R$28^2)^(3/2))*$R$27</f>
        <v>6.3305240682114974</v>
      </c>
      <c r="BB838" s="7">
        <f t="shared" ref="BB838:BB901" si="169">(($R$32-AQ838)/(($R$32-AQ838)^2+($S$32-AR838)^2+$R$37^2)^(3/2))*$R$36</f>
        <v>-0.57393089035828704</v>
      </c>
      <c r="BC838" s="7">
        <f t="shared" ref="BC838:BC901" si="170">(($S$32-AR838)/(($R$32-AQ838)^2+($S$32-AR838)^2+$R$37^2)^(3/2))*$R$36</f>
        <v>1.95435099526561</v>
      </c>
      <c r="BF838" s="7">
        <f t="shared" ref="BF838:BF901" si="171">(($R$41-AQ838)/(($R$41-AQ838)^2+($S$41-AR838)^2+$R$46^2)^(3/2))*$R$45</f>
        <v>-1.8485342287498177</v>
      </c>
      <c r="BG838" s="7">
        <f t="shared" ref="BG838:BG901" si="172">(($S$41-AR838)/(($R$41-AQ838)^2+($S$41-AR838)^2+$R$46^2)^(3/2))*$R$45</f>
        <v>6.9970119611407888</v>
      </c>
      <c r="BI838" s="10">
        <f t="shared" ref="BI838:BI901" si="173">BF838+BB838+AX838</f>
        <v>-3.4009681427003211</v>
      </c>
      <c r="BJ838">
        <f t="shared" ref="BJ838:BJ901" si="174">BG838+BC838+AY838</f>
        <v>15.281887024617896</v>
      </c>
    </row>
    <row r="839" spans="42:62" x14ac:dyDescent="0.25">
      <c r="AP839" s="1">
        <v>834</v>
      </c>
      <c r="AQ839" s="7">
        <f t="shared" si="163"/>
        <v>64032.638507350457</v>
      </c>
      <c r="AR839" s="7">
        <f t="shared" si="164"/>
        <v>-275433.11109614774</v>
      </c>
      <c r="AS839" s="7"/>
      <c r="AT839" s="7">
        <f t="shared" si="165"/>
        <v>798.9378420016335</v>
      </c>
      <c r="AU839" s="7">
        <f t="shared" si="166"/>
        <v>-1289.5136657411445</v>
      </c>
      <c r="AV839" s="7"/>
      <c r="AX839" s="7">
        <f t="shared" si="167"/>
        <v>-0.98025214434491414</v>
      </c>
      <c r="AY839" s="7">
        <f t="shared" si="168"/>
        <v>6.2986411502885247</v>
      </c>
      <c r="BB839" s="7">
        <f t="shared" si="169"/>
        <v>-0.5724248912011124</v>
      </c>
      <c r="BC839" s="7">
        <f t="shared" si="170"/>
        <v>1.9443518669250819</v>
      </c>
      <c r="BF839" s="7">
        <f t="shared" si="171"/>
        <v>-1.8443057993703984</v>
      </c>
      <c r="BG839" s="7">
        <f t="shared" si="172"/>
        <v>6.9578435292105647</v>
      </c>
      <c r="BI839" s="10">
        <f t="shared" si="173"/>
        <v>-3.3969828349164253</v>
      </c>
      <c r="BJ839">
        <f t="shared" si="174"/>
        <v>15.200836546424171</v>
      </c>
    </row>
    <row r="840" spans="42:62" x14ac:dyDescent="0.25">
      <c r="AP840" s="1">
        <v>835</v>
      </c>
      <c r="AQ840" s="7">
        <f t="shared" si="163"/>
        <v>64431.682805496908</v>
      </c>
      <c r="AR840" s="7">
        <f t="shared" si="164"/>
        <v>-276075.96782445005</v>
      </c>
      <c r="AS840" s="7"/>
      <c r="AT840" s="7">
        <f t="shared" si="165"/>
        <v>797.23935058417533</v>
      </c>
      <c r="AU840" s="7">
        <f t="shared" si="166"/>
        <v>-1281.9132474679323</v>
      </c>
      <c r="AV840" s="7"/>
      <c r="AX840" s="7">
        <f t="shared" si="167"/>
        <v>-0.98195898030354734</v>
      </c>
      <c r="AY840" s="7">
        <f t="shared" si="168"/>
        <v>6.2671488141124065</v>
      </c>
      <c r="BB840" s="7">
        <f t="shared" si="169"/>
        <v>-0.57093612651778458</v>
      </c>
      <c r="BC840" s="7">
        <f t="shared" si="170"/>
        <v>1.9344764848022695</v>
      </c>
      <c r="BF840" s="7">
        <f t="shared" si="171"/>
        <v>-1.8401187546023423</v>
      </c>
      <c r="BG840" s="7">
        <f t="shared" si="172"/>
        <v>6.9191868230463518</v>
      </c>
      <c r="BI840" s="10">
        <f t="shared" si="173"/>
        <v>-3.3930138614236744</v>
      </c>
      <c r="BJ840">
        <f t="shared" si="174"/>
        <v>15.120812121961027</v>
      </c>
    </row>
    <row r="841" spans="42:62" x14ac:dyDescent="0.25">
      <c r="AP841" s="1">
        <v>836</v>
      </c>
      <c r="AQ841" s="7">
        <f t="shared" si="163"/>
        <v>64829.878354056316</v>
      </c>
      <c r="AR841" s="7">
        <f t="shared" si="164"/>
        <v>-276715.03434666881</v>
      </c>
      <c r="AS841" s="7"/>
      <c r="AT841" s="7">
        <f t="shared" si="165"/>
        <v>795.54284365346348</v>
      </c>
      <c r="AU841" s="7">
        <f t="shared" si="166"/>
        <v>-1274.3528414069517</v>
      </c>
      <c r="AV841" s="7"/>
      <c r="AX841" s="7">
        <f t="shared" si="167"/>
        <v>-0.98362475059229815</v>
      </c>
      <c r="AY841" s="7">
        <f t="shared" si="168"/>
        <v>6.2360406170615494</v>
      </c>
      <c r="BB841" s="7">
        <f t="shared" si="169"/>
        <v>-0.56946437442710585</v>
      </c>
      <c r="BC841" s="7">
        <f t="shared" si="170"/>
        <v>1.9247227609075626</v>
      </c>
      <c r="BF841" s="7">
        <f t="shared" si="171"/>
        <v>-1.8359727772375865</v>
      </c>
      <c r="BG841" s="7">
        <f t="shared" si="172"/>
        <v>6.8810327295432296</v>
      </c>
      <c r="BI841" s="10">
        <f t="shared" si="173"/>
        <v>-3.3890619022569908</v>
      </c>
      <c r="BJ841">
        <f t="shared" si="174"/>
        <v>15.041796107512342</v>
      </c>
    </row>
    <row r="842" spans="42:62" x14ac:dyDescent="0.25">
      <c r="AP842" s="1">
        <v>837</v>
      </c>
      <c r="AQ842" s="7">
        <f t="shared" si="163"/>
        <v>65227.226143145264</v>
      </c>
      <c r="AR842" s="7">
        <f t="shared" si="164"/>
        <v>-277350.33054285886</v>
      </c>
      <c r="AS842" s="7"/>
      <c r="AT842" s="7">
        <f t="shared" si="165"/>
        <v>793.84831270233497</v>
      </c>
      <c r="AU842" s="7">
        <f t="shared" si="166"/>
        <v>-1266.8319433531956</v>
      </c>
      <c r="AV842" s="7"/>
      <c r="AX842" s="7">
        <f t="shared" si="167"/>
        <v>-0.98525063932614865</v>
      </c>
      <c r="AY842" s="7">
        <f t="shared" si="168"/>
        <v>6.2053102569535366</v>
      </c>
      <c r="BB842" s="7">
        <f t="shared" si="169"/>
        <v>-0.56800941721531906</v>
      </c>
      <c r="BC842" s="7">
        <f t="shared" si="170"/>
        <v>1.9150886538785465</v>
      </c>
      <c r="BF842" s="7">
        <f t="shared" si="171"/>
        <v>-1.8318675510026798</v>
      </c>
      <c r="BG842" s="7">
        <f t="shared" si="172"/>
        <v>6.8433723487340092</v>
      </c>
      <c r="BI842" s="10">
        <f t="shared" si="173"/>
        <v>-3.3851276075441477</v>
      </c>
      <c r="BJ842">
        <f t="shared" si="174"/>
        <v>14.963771259566093</v>
      </c>
    </row>
    <row r="843" spans="42:62" x14ac:dyDescent="0.25">
      <c r="AP843" s="1">
        <v>838</v>
      </c>
      <c r="AQ843" s="7">
        <f t="shared" si="163"/>
        <v>65623.727158545487</v>
      </c>
      <c r="AR843" s="7">
        <f t="shared" si="164"/>
        <v>-277981.87604312802</v>
      </c>
      <c r="AS843" s="7"/>
      <c r="AT843" s="7">
        <f t="shared" si="165"/>
        <v>792.15574889856293</v>
      </c>
      <c r="AU843" s="7">
        <f t="shared" si="166"/>
        <v>-1259.3500577234126</v>
      </c>
      <c r="AV843" s="7"/>
      <c r="AX843" s="7">
        <f t="shared" si="167"/>
        <v>-0.98683779676104866</v>
      </c>
      <c r="AY843" s="7">
        <f t="shared" si="168"/>
        <v>6.174951568305687</v>
      </c>
      <c r="BB843" s="7">
        <f t="shared" si="169"/>
        <v>-0.56657104124110458</v>
      </c>
      <c r="BC843" s="7">
        <f t="shared" si="170"/>
        <v>1.9055721677030235</v>
      </c>
      <c r="BF843" s="7">
        <f t="shared" si="171"/>
        <v>-1.8278027607030487</v>
      </c>
      <c r="BG843" s="7">
        <f t="shared" si="172"/>
        <v>6.8061969876979802</v>
      </c>
      <c r="BI843" s="10">
        <f t="shared" si="173"/>
        <v>-3.3812115987052018</v>
      </c>
      <c r="BJ843">
        <f t="shared" si="174"/>
        <v>14.886720723706691</v>
      </c>
    </row>
    <row r="844" spans="42:62" x14ac:dyDescent="0.25">
      <c r="AP844" s="1">
        <v>839</v>
      </c>
      <c r="AQ844" s="7">
        <f t="shared" si="163"/>
        <v>66019.382381544929</v>
      </c>
      <c r="AR844" s="7">
        <f t="shared" si="164"/>
        <v>-278609.69023189927</v>
      </c>
      <c r="AS844" s="7"/>
      <c r="AT844" s="7">
        <f t="shared" si="165"/>
        <v>790.46514309921031</v>
      </c>
      <c r="AU844" s="7">
        <f t="shared" si="166"/>
        <v>-1251.9066973615593</v>
      </c>
      <c r="AV844" s="7"/>
      <c r="AX844" s="7">
        <f t="shared" si="167"/>
        <v>-0.98838734040142451</v>
      </c>
      <c r="AY844" s="7">
        <f t="shared" si="168"/>
        <v>6.1449585187129321</v>
      </c>
      <c r="BB844" s="7">
        <f t="shared" si="169"/>
        <v>-0.56514903684321338</v>
      </c>
      <c r="BC844" s="7">
        <f t="shared" si="170"/>
        <v>1.8961713504835627</v>
      </c>
      <c r="BF844" s="7">
        <f t="shared" si="171"/>
        <v>-1.8237780923572158</v>
      </c>
      <c r="BG844" s="7">
        <f t="shared" si="172"/>
        <v>6.7694981546747632</v>
      </c>
      <c r="BI844" s="10">
        <f t="shared" si="173"/>
        <v>-3.3773144696018536</v>
      </c>
      <c r="BJ844">
        <f t="shared" si="174"/>
        <v>14.810628023871256</v>
      </c>
    </row>
    <row r="845" spans="42:62" x14ac:dyDescent="0.25">
      <c r="AP845" s="1">
        <v>840</v>
      </c>
      <c r="AQ845" s="7">
        <f t="shared" si="163"/>
        <v>66414.192788785847</v>
      </c>
      <c r="AR845" s="7">
        <f t="shared" si="164"/>
        <v>-279233.79225207708</v>
      </c>
      <c r="AS845" s="7"/>
      <c r="AT845" s="7">
        <f t="shared" si="165"/>
        <v>788.77648586440944</v>
      </c>
      <c r="AU845" s="7">
        <f t="shared" si="166"/>
        <v>-1244.5013833496237</v>
      </c>
      <c r="AV845" s="7"/>
      <c r="AX845" s="7">
        <f t="shared" si="167"/>
        <v>-0.98990035606691584</v>
      </c>
      <c r="AY845" s="7">
        <f t="shared" si="168"/>
        <v>6.1153252053394835</v>
      </c>
      <c r="BB845" s="7">
        <f t="shared" si="169"/>
        <v>-0.5637431982506047</v>
      </c>
      <c r="BC845" s="7">
        <f t="shared" si="170"/>
        <v>1.8868842932418934</v>
      </c>
      <c r="BF845" s="7">
        <f t="shared" si="171"/>
        <v>-1.819793233321785</v>
      </c>
      <c r="BG845" s="7">
        <f t="shared" si="172"/>
        <v>6.733267553376197</v>
      </c>
      <c r="BI845" s="10">
        <f t="shared" si="173"/>
        <v>-3.3734367876393057</v>
      </c>
      <c r="BJ845">
        <f t="shared" si="174"/>
        <v>14.735477051957574</v>
      </c>
    </row>
    <row r="846" spans="42:62" x14ac:dyDescent="0.25">
      <c r="AP846" s="1">
        <v>841</v>
      </c>
      <c r="AQ846" s="7">
        <f t="shared" si="163"/>
        <v>66808.159352119605</v>
      </c>
      <c r="AR846" s="7">
        <f t="shared" si="164"/>
        <v>-279854.20100912038</v>
      </c>
      <c r="AS846" s="7"/>
      <c r="AT846" s="7">
        <f t="shared" si="165"/>
        <v>787.08976747058978</v>
      </c>
      <c r="AU846" s="7">
        <f t="shared" si="166"/>
        <v>-1237.1336448236448</v>
      </c>
      <c r="AV846" s="7"/>
      <c r="AX846" s="7">
        <f t="shared" si="167"/>
        <v>-0.99137789891997785</v>
      </c>
      <c r="AY846" s="7">
        <f t="shared" si="168"/>
        <v>6.0860458515199181</v>
      </c>
      <c r="BB846" s="7">
        <f t="shared" si="169"/>
        <v>-0.56235332349510625</v>
      </c>
      <c r="BC846" s="7">
        <f t="shared" si="170"/>
        <v>1.8777091287619547</v>
      </c>
      <c r="BF846" s="7">
        <f t="shared" si="171"/>
        <v>-1.81584787240777</v>
      </c>
      <c r="BG846" s="7">
        <f t="shared" si="172"/>
        <v>6.6974970774887996</v>
      </c>
      <c r="BI846" s="10">
        <f t="shared" si="173"/>
        <v>-3.3695790948228543</v>
      </c>
      <c r="BJ846">
        <f t="shared" si="174"/>
        <v>14.661252057770673</v>
      </c>
    </row>
    <row r="847" spans="42:62" x14ac:dyDescent="0.25">
      <c r="AP847" s="1">
        <v>842</v>
      </c>
      <c r="AQ847" s="7">
        <f t="shared" si="163"/>
        <v>67201.283038468042</v>
      </c>
      <c r="AR847" s="7">
        <f t="shared" si="164"/>
        <v>-280470.93517502502</v>
      </c>
      <c r="AS847" s="7"/>
      <c r="AT847" s="7">
        <f t="shared" si="165"/>
        <v>785.40497792317831</v>
      </c>
      <c r="AU847" s="7">
        <f t="shared" si="166"/>
        <v>-1229.8030187947595</v>
      </c>
      <c r="AV847" s="7"/>
      <c r="AX847" s="7">
        <f t="shared" si="167"/>
        <v>-0.99282099445598915</v>
      </c>
      <c r="AY847" s="7">
        <f t="shared" si="168"/>
        <v>6.0571148034659172</v>
      </c>
      <c r="BB847" s="7">
        <f t="shared" si="169"/>
        <v>-0.56097921432636255</v>
      </c>
      <c r="BC847" s="7">
        <f t="shared" si="170"/>
        <v>1.868644030469669</v>
      </c>
      <c r="BF847" s="7">
        <f t="shared" si="171"/>
        <v>-1.8119416999884548</v>
      </c>
      <c r="BG847" s="7">
        <f t="shared" si="172"/>
        <v>6.6621788053583302</v>
      </c>
      <c r="BI847" s="10">
        <f t="shared" si="173"/>
        <v>-3.3657419087708065</v>
      </c>
      <c r="BJ847">
        <f t="shared" si="174"/>
        <v>14.587937639293916</v>
      </c>
    </row>
    <row r="848" spans="42:62" x14ac:dyDescent="0.25">
      <c r="AP848" s="1">
        <v>843</v>
      </c>
      <c r="AQ848" s="7">
        <f t="shared" si="163"/>
        <v>67593.56480969103</v>
      </c>
      <c r="AR848" s="7">
        <f t="shared" si="164"/>
        <v>-281084.01319221751</v>
      </c>
      <c r="AS848" s="7"/>
      <c r="AT848" s="7">
        <f t="shared" si="165"/>
        <v>783.7221069687929</v>
      </c>
      <c r="AU848" s="7">
        <f t="shared" si="166"/>
        <v>-1222.5090499751125</v>
      </c>
      <c r="AV848" s="7"/>
      <c r="AX848" s="7">
        <f t="shared" si="167"/>
        <v>-0.99423063945738355</v>
      </c>
      <c r="AY848" s="7">
        <f t="shared" si="168"/>
        <v>6.0285265270748072</v>
      </c>
      <c r="BB848" s="7">
        <f t="shared" si="169"/>
        <v>-0.55962067612912614</v>
      </c>
      <c r="BC848" s="7">
        <f t="shared" si="170"/>
        <v>1.8596872113484981</v>
      </c>
      <c r="BF848" s="7">
        <f t="shared" si="171"/>
        <v>-1.8080744080995954</v>
      </c>
      <c r="BG848" s="7">
        <f t="shared" si="172"/>
        <v>6.6273049948507028</v>
      </c>
      <c r="BI848" s="10">
        <f t="shared" si="173"/>
        <v>-3.3619257236861051</v>
      </c>
      <c r="BJ848">
        <f t="shared" si="174"/>
        <v>14.515518733274007</v>
      </c>
    </row>
    <row r="849" spans="42:62" x14ac:dyDescent="0.25">
      <c r="AP849" s="1">
        <v>844</v>
      </c>
      <c r="AQ849" s="7">
        <f t="shared" si="163"/>
        <v>67985.005622459954</v>
      </c>
      <c r="AR849" s="7">
        <f t="shared" si="164"/>
        <v>-281693.45327736338</v>
      </c>
      <c r="AS849" s="7"/>
      <c r="AT849" s="7">
        <f t="shared" si="165"/>
        <v>782.0411441069499</v>
      </c>
      <c r="AU849" s="7">
        <f t="shared" si="166"/>
        <v>-1215.2512906084755</v>
      </c>
      <c r="AV849" s="7"/>
      <c r="AX849" s="7">
        <f t="shared" si="167"/>
        <v>-0.99560780291323081</v>
      </c>
      <c r="AY849" s="7">
        <f t="shared" si="168"/>
        <v>6.0002756048360233</v>
      </c>
      <c r="BB849" s="7">
        <f t="shared" si="169"/>
        <v>-0.55827751784279978</v>
      </c>
      <c r="BC849" s="7">
        <f t="shared" si="170"/>
        <v>1.8508369228894088</v>
      </c>
      <c r="BF849" s="7">
        <f t="shared" si="171"/>
        <v>-1.8042456905322146</v>
      </c>
      <c r="BG849" s="7">
        <f t="shared" si="172"/>
        <v>6.5928680783818674</v>
      </c>
      <c r="BI849" s="10">
        <f t="shared" si="173"/>
        <v>-3.3581310112882452</v>
      </c>
      <c r="BJ849">
        <f t="shared" si="174"/>
        <v>14.443980606107299</v>
      </c>
    </row>
    <row r="850" spans="42:62" x14ac:dyDescent="0.25">
      <c r="AP850" s="1">
        <v>845</v>
      </c>
      <c r="AQ850" s="7">
        <f t="shared" si="163"/>
        <v>68375.60642813702</v>
      </c>
      <c r="AR850" s="7">
        <f t="shared" si="164"/>
        <v>-282299.27342509181</v>
      </c>
      <c r="AS850" s="7"/>
      <c r="AT850" s="7">
        <f t="shared" si="165"/>
        <v>780.36207860130583</v>
      </c>
      <c r="AU850" s="7">
        <f t="shared" si="166"/>
        <v>-1208.0293003054219</v>
      </c>
      <c r="AV850" s="7"/>
      <c r="AX850" s="7">
        <f t="shared" si="167"/>
        <v>-0.99695342690573441</v>
      </c>
      <c r="AY850" s="7">
        <f t="shared" si="168"/>
        <v>5.9723567328324574</v>
      </c>
      <c r="BB850" s="7">
        <f t="shared" si="169"/>
        <v>-0.55694955188309414</v>
      </c>
      <c r="BC850" s="7">
        <f t="shared" si="170"/>
        <v>1.8420914540737787</v>
      </c>
      <c r="BF850" s="7">
        <f t="shared" si="171"/>
        <v>-1.8004552429183842</v>
      </c>
      <c r="BG850" s="7">
        <f t="shared" si="172"/>
        <v>6.558860658110139</v>
      </c>
      <c r="BI850" s="10">
        <f t="shared" si="173"/>
        <v>-3.3543582217072125</v>
      </c>
      <c r="BJ850">
        <f t="shared" si="174"/>
        <v>14.373308845016375</v>
      </c>
    </row>
    <row r="851" spans="42:62" x14ac:dyDescent="0.25">
      <c r="AP851" s="1">
        <v>846</v>
      </c>
      <c r="AQ851" s="7">
        <f t="shared" si="163"/>
        <v>68765.368172659961</v>
      </c>
      <c r="AR851" s="7">
        <f t="shared" si="164"/>
        <v>-282901.49141163891</v>
      </c>
      <c r="AS851" s="7"/>
      <c r="AT851" s="7">
        <f t="shared" si="165"/>
        <v>778.68489949045227</v>
      </c>
      <c r="AU851" s="7">
        <f t="shared" si="166"/>
        <v>-1200.8426458829138</v>
      </c>
      <c r="AV851" s="7"/>
      <c r="AX851" s="7">
        <f t="shared" si="167"/>
        <v>-0.99826842746495126</v>
      </c>
      <c r="AY851" s="7">
        <f t="shared" si="168"/>
        <v>5.9447647178331655</v>
      </c>
      <c r="BB851" s="7">
        <f t="shared" si="169"/>
        <v>-0.55563659406580246</v>
      </c>
      <c r="BC851" s="7">
        <f t="shared" si="170"/>
        <v>1.8334491303882576</v>
      </c>
      <c r="BF851" s="7">
        <f t="shared" si="171"/>
        <v>-1.796702762810672</v>
      </c>
      <c r="BG851" s="7">
        <f t="shared" si="172"/>
        <v>6.5252755012858783</v>
      </c>
      <c r="BI851" s="10">
        <f t="shared" si="173"/>
        <v>-3.3506077843414257</v>
      </c>
      <c r="BJ851">
        <f t="shared" si="174"/>
        <v>14.303489349507302</v>
      </c>
    </row>
    <row r="852" spans="42:62" x14ac:dyDescent="0.25">
      <c r="AP852" s="1">
        <v>847</v>
      </c>
      <c r="AQ852" s="7">
        <f t="shared" si="163"/>
        <v>69154.291796432139</v>
      </c>
      <c r="AR852" s="7">
        <f t="shared" si="164"/>
        <v>-283500.12479841168</v>
      </c>
      <c r="AS852" s="7"/>
      <c r="AT852" s="7">
        <f t="shared" si="165"/>
        <v>777.00959559828152</v>
      </c>
      <c r="AU852" s="7">
        <f t="shared" si="166"/>
        <v>-1193.6909012081601</v>
      </c>
      <c r="AV852" s="7"/>
      <c r="AX852" s="7">
        <f t="shared" si="167"/>
        <v>-0.99955369539300121</v>
      </c>
      <c r="AY852" s="7">
        <f t="shared" si="168"/>
        <v>5.917494474474144</v>
      </c>
      <c r="BB852" s="7">
        <f t="shared" si="169"/>
        <v>-0.55433846353257643</v>
      </c>
      <c r="BC852" s="7">
        <f t="shared" si="170"/>
        <v>1.8249083128702728</v>
      </c>
      <c r="BF852" s="7">
        <f t="shared" si="171"/>
        <v>-1.792987949755142</v>
      </c>
      <c r="BG852" s="7">
        <f t="shared" si="172"/>
        <v>6.4921055357508903</v>
      </c>
      <c r="BI852" s="10">
        <f t="shared" si="173"/>
        <v>-3.3468801086807196</v>
      </c>
      <c r="BJ852">
        <f t="shared" si="174"/>
        <v>14.234508323095309</v>
      </c>
    </row>
    <row r="853" spans="42:62" x14ac:dyDescent="0.25">
      <c r="AP853" s="1">
        <v>848</v>
      </c>
      <c r="AQ853" s="7">
        <f t="shared" si="163"/>
        <v>69542.378234217686</v>
      </c>
      <c r="AR853" s="7">
        <f t="shared" si="164"/>
        <v>-284095.1909354754</v>
      </c>
      <c r="AS853" s="7"/>
      <c r="AT853" s="7">
        <f t="shared" si="165"/>
        <v>775.33615554394112</v>
      </c>
      <c r="AU853" s="7">
        <f t="shared" si="166"/>
        <v>-1186.5736470466125</v>
      </c>
      <c r="AV853" s="7"/>
      <c r="AX853" s="7">
        <f t="shared" si="167"/>
        <v>-1.0008100970589497</v>
      </c>
      <c r="AY853" s="7">
        <f t="shared" si="168"/>
        <v>5.8905410225239336</v>
      </c>
      <c r="BB853" s="7">
        <f t="shared" si="169"/>
        <v>-0.55305498267871611</v>
      </c>
      <c r="BC853" s="7">
        <f t="shared" si="170"/>
        <v>1.8164673971833123</v>
      </c>
      <c r="BF853" s="7">
        <f t="shared" si="171"/>
        <v>-1.7893105053587393</v>
      </c>
      <c r="BG853" s="7">
        <f t="shared" si="172"/>
        <v>6.4593438455836409</v>
      </c>
      <c r="BI853" s="10">
        <f t="shared" si="173"/>
        <v>-3.3431755850964051</v>
      </c>
      <c r="BJ853">
        <f t="shared" si="174"/>
        <v>14.166352265290886</v>
      </c>
    </row>
    <row r="854" spans="42:62" x14ac:dyDescent="0.25">
      <c r="AP854" s="1">
        <v>849</v>
      </c>
      <c r="AQ854" s="7">
        <f t="shared" si="163"/>
        <v>69929.628415041516</v>
      </c>
      <c r="AR854" s="7">
        <f t="shared" si="164"/>
        <v>-284686.7069649655</v>
      </c>
      <c r="AS854" s="7"/>
      <c r="AT854" s="7">
        <f t="shared" si="165"/>
        <v>773.66456775139295</v>
      </c>
      <c r="AU854" s="7">
        <f t="shared" si="166"/>
        <v>-1179.4904709139671</v>
      </c>
      <c r="AV854" s="7"/>
      <c r="AX854" s="7">
        <f t="shared" si="167"/>
        <v>-1.0020384751656632</v>
      </c>
      <c r="AY854" s="7">
        <f t="shared" si="168"/>
        <v>5.8638994842318635</v>
      </c>
      <c r="BB854" s="7">
        <f t="shared" si="169"/>
        <v>-0.55178597708280197</v>
      </c>
      <c r="BC854" s="7">
        <f t="shared" si="170"/>
        <v>1.808124812720564</v>
      </c>
      <c r="BF854" s="7">
        <f t="shared" si="171"/>
        <v>-1.785670133351132</v>
      </c>
      <c r="BG854" s="7">
        <f t="shared" si="172"/>
        <v>6.4269836668839799</v>
      </c>
      <c r="BI854" s="10">
        <f t="shared" si="173"/>
        <v>-3.3394945855995974</v>
      </c>
      <c r="BJ854">
        <f t="shared" si="174"/>
        <v>14.099007963836408</v>
      </c>
    </row>
    <row r="855" spans="42:62" x14ac:dyDescent="0.25">
      <c r="AP855" s="1">
        <v>850</v>
      </c>
      <c r="AQ855" s="7">
        <f t="shared" si="163"/>
        <v>70316.043262094012</v>
      </c>
      <c r="AR855" s="7">
        <f t="shared" si="164"/>
        <v>-285274.68982442701</v>
      </c>
      <c r="AS855" s="7"/>
      <c r="AT855" s="7">
        <f t="shared" si="165"/>
        <v>771.99482045859315</v>
      </c>
      <c r="AU855" s="7">
        <f t="shared" si="166"/>
        <v>-1172.4409669320489</v>
      </c>
      <c r="AV855" s="7"/>
      <c r="AX855" s="7">
        <f t="shared" si="167"/>
        <v>-1.0032396494895715</v>
      </c>
      <c r="AY855" s="7">
        <f t="shared" si="168"/>
        <v>5.8375650817550442</v>
      </c>
      <c r="BB855" s="7">
        <f t="shared" si="169"/>
        <v>-0.55053127543820579</v>
      </c>
      <c r="BC855" s="7">
        <f t="shared" si="170"/>
        <v>1.7998790217362035</v>
      </c>
      <c r="BF855" s="7">
        <f t="shared" si="171"/>
        <v>-1.7820665396413602</v>
      </c>
      <c r="BG855" s="7">
        <f t="shared" si="172"/>
        <v>6.3950183836923369</v>
      </c>
      <c r="BI855" s="10">
        <f t="shared" si="173"/>
        <v>-3.3358374645691375</v>
      </c>
      <c r="BJ855">
        <f t="shared" si="174"/>
        <v>14.032462487183583</v>
      </c>
    </row>
    <row r="856" spans="42:62" x14ac:dyDescent="0.25">
      <c r="AP856" s="1">
        <v>851</v>
      </c>
      <c r="AQ856" s="7">
        <f t="shared" si="163"/>
        <v>70701.623692640234</v>
      </c>
      <c r="AR856" s="7">
        <f t="shared" si="164"/>
        <v>-285859.15625008219</v>
      </c>
      <c r="AS856" s="7"/>
      <c r="AT856" s="7">
        <f t="shared" si="165"/>
        <v>770.32690172630862</v>
      </c>
      <c r="AU856" s="7">
        <f t="shared" si="166"/>
        <v>-1165.4247356884571</v>
      </c>
      <c r="AV856" s="7"/>
      <c r="AX856" s="7">
        <f t="shared" si="167"/>
        <v>-1.00441441759452</v>
      </c>
      <c r="AY856" s="7">
        <f t="shared" si="168"/>
        <v>5.8115331346620689</v>
      </c>
      <c r="BB856" s="7">
        <f t="shared" si="169"/>
        <v>-0.54929070948640435</v>
      </c>
      <c r="BC856" s="7">
        <f t="shared" si="170"/>
        <v>1.7917285185032836</v>
      </c>
      <c r="BF856" s="7">
        <f t="shared" si="171"/>
        <v>-1.7784994323695633</v>
      </c>
      <c r="BG856" s="7">
        <f t="shared" si="172"/>
        <v>6.3634415240383211</v>
      </c>
      <c r="BI856" s="10">
        <f t="shared" si="173"/>
        <v>-3.3322045594504877</v>
      </c>
      <c r="BJ856">
        <f t="shared" si="174"/>
        <v>13.966703177203673</v>
      </c>
    </row>
    <row r="857" spans="42:62" x14ac:dyDescent="0.25">
      <c r="AP857" s="1">
        <v>852</v>
      </c>
      <c r="AQ857" s="7">
        <f t="shared" si="163"/>
        <v>71086.370617933455</v>
      </c>
      <c r="AR857" s="7">
        <f t="shared" si="164"/>
        <v>-286440.12278002925</v>
      </c>
      <c r="AS857" s="7"/>
      <c r="AT857" s="7">
        <f t="shared" si="165"/>
        <v>768.66079944658338</v>
      </c>
      <c r="AU857" s="7">
        <f t="shared" si="166"/>
        <v>-1158.4413840998552</v>
      </c>
      <c r="AV857" s="7"/>
      <c r="AX857" s="7">
        <f t="shared" si="167"/>
        <v>-1.005563555520709</v>
      </c>
      <c r="AY857" s="7">
        <f t="shared" si="168"/>
        <v>5.7857990575106664</v>
      </c>
      <c r="BB857" s="7">
        <f t="shared" si="169"/>
        <v>-0.5480641139520015</v>
      </c>
      <c r="BC857" s="7">
        <f t="shared" si="170"/>
        <v>1.7836718284971591</v>
      </c>
      <c r="BF857" s="7">
        <f t="shared" si="171"/>
        <v>-1.7749685219542886</v>
      </c>
      <c r="BG857" s="7">
        <f t="shared" si="172"/>
        <v>6.332246756114821</v>
      </c>
      <c r="BI857" s="10">
        <f t="shared" si="173"/>
        <v>-3.3285961914269988</v>
      </c>
      <c r="BJ857">
        <f t="shared" si="174"/>
        <v>13.901717642122648</v>
      </c>
    </row>
    <row r="858" spans="42:62" x14ac:dyDescent="0.25">
      <c r="AP858" s="1">
        <v>853</v>
      </c>
      <c r="AQ858" s="7">
        <f t="shared" si="163"/>
        <v>71470.284943132807</v>
      </c>
      <c r="AR858" s="7">
        <f t="shared" si="164"/>
        <v>-287017.60575737391</v>
      </c>
      <c r="AS858" s="7"/>
      <c r="AT858" s="7">
        <f t="shared" si="165"/>
        <v>766.99650135086983</v>
      </c>
      <c r="AU858" s="7">
        <f t="shared" si="166"/>
        <v>-1151.4905252787939</v>
      </c>
      <c r="AV858" s="7"/>
      <c r="AX858" s="7">
        <f t="shared" si="167"/>
        <v>-1.0066878184496997</v>
      </c>
      <c r="AY858" s="7">
        <f t="shared" si="168"/>
        <v>5.7603583574968518</v>
      </c>
      <c r="BB858" s="7">
        <f t="shared" si="169"/>
        <v>-0.54685132647941392</v>
      </c>
      <c r="BC858" s="7">
        <f t="shared" si="170"/>
        <v>1.7757075076035791</v>
      </c>
      <c r="BF858" s="7">
        <f t="shared" si="171"/>
        <v>-1.7714735211352413</v>
      </c>
      <c r="BG858" s="7">
        <f t="shared" si="172"/>
        <v>6.3014278845716021</v>
      </c>
      <c r="BI858" s="10">
        <f t="shared" si="173"/>
        <v>-3.3250126660643549</v>
      </c>
      <c r="BJ858">
        <f t="shared" si="174"/>
        <v>13.837493749672033</v>
      </c>
    </row>
    <row r="859" spans="42:62" x14ac:dyDescent="0.25">
      <c r="AP859" s="1">
        <v>854</v>
      </c>
      <c r="AQ859" s="7">
        <f t="shared" si="163"/>
        <v>71853.367567224981</v>
      </c>
      <c r="AR859" s="7">
        <f t="shared" si="164"/>
        <v>-287591.62133329461</v>
      </c>
      <c r="AS859" s="7"/>
      <c r="AT859" s="7">
        <f t="shared" si="165"/>
        <v>765.33399501783765</v>
      </c>
      <c r="AU859" s="7">
        <f t="shared" si="166"/>
        <v>-1144.571778403958</v>
      </c>
      <c r="AV859" s="7"/>
      <c r="AX859" s="7">
        <f t="shared" si="167"/>
        <v>-1.0077879413463258</v>
      </c>
      <c r="AY859" s="7">
        <f t="shared" si="168"/>
        <v>5.7352066321725648</v>
      </c>
      <c r="BB859" s="7">
        <f t="shared" si="169"/>
        <v>-0.54565218757126821</v>
      </c>
      <c r="BC859" s="7">
        <f t="shared" si="170"/>
        <v>1.767834141350888</v>
      </c>
      <c r="BF859" s="7">
        <f t="shared" si="171"/>
        <v>-1.7680141450121545</v>
      </c>
      <c r="BG859" s="7">
        <f t="shared" si="172"/>
        <v>6.2709788469255479</v>
      </c>
      <c r="BI859" s="10">
        <f t="shared" si="173"/>
        <v>-3.3214542739297483</v>
      </c>
      <c r="BJ859">
        <f t="shared" si="174"/>
        <v>13.774019620449002</v>
      </c>
    </row>
    <row r="860" spans="42:62" x14ac:dyDescent="0.25">
      <c r="AP860" s="1">
        <v>855</v>
      </c>
      <c r="AQ860" s="7">
        <f t="shared" si="163"/>
        <v>72235.619382949662</v>
      </c>
      <c r="AR860" s="7">
        <f t="shared" si="164"/>
        <v>-288162.18547004403</v>
      </c>
      <c r="AS860" s="7"/>
      <c r="AT860" s="7">
        <f t="shared" si="165"/>
        <v>763.6732678808728</v>
      </c>
      <c r="AU860" s="7">
        <f t="shared" si="166"/>
        <v>-1137.6847685937335</v>
      </c>
      <c r="AV860" s="7"/>
      <c r="AX860" s="7">
        <f t="shared" si="167"/>
        <v>-1.0088646395785947</v>
      </c>
      <c r="AY860" s="7">
        <f t="shared" si="168"/>
        <v>5.7103395672306085</v>
      </c>
      <c r="BB860" s="7">
        <f t="shared" si="169"/>
        <v>-0.54446654052827925</v>
      </c>
      <c r="BC860" s="7">
        <f t="shared" si="170"/>
        <v>1.76005034416493</v>
      </c>
      <c r="BF860" s="7">
        <f t="shared" si="171"/>
        <v>-1.7645901110796856</v>
      </c>
      <c r="BG860" s="7">
        <f t="shared" si="172"/>
        <v>6.2408937100822159</v>
      </c>
      <c r="BI860" s="10">
        <f t="shared" si="173"/>
        <v>-3.3179212911865594</v>
      </c>
      <c r="BJ860">
        <f t="shared" si="174"/>
        <v>13.711283621477754</v>
      </c>
    </row>
    <row r="861" spans="42:62" x14ac:dyDescent="0.25">
      <c r="AP861" s="1">
        <v>856</v>
      </c>
      <c r="AQ861" s="7">
        <f t="shared" si="163"/>
        <v>72617.041276728691</v>
      </c>
      <c r="AR861" s="7">
        <f t="shared" si="164"/>
        <v>-288729.31394388824</v>
      </c>
      <c r="AS861" s="7"/>
      <c r="AT861" s="7">
        <f t="shared" si="165"/>
        <v>762.01430723527949</v>
      </c>
      <c r="AU861" s="7">
        <f t="shared" si="166"/>
        <v>-1130.8291267829945</v>
      </c>
      <c r="AV861" s="7"/>
      <c r="AX861" s="7">
        <f t="shared" si="167"/>
        <v>-1.0099186095162309</v>
      </c>
      <c r="AY861" s="7">
        <f t="shared" si="168"/>
        <v>5.6857529343534869</v>
      </c>
      <c r="BB861" s="7">
        <f t="shared" si="169"/>
        <v>-0.5432942313907636</v>
      </c>
      <c r="BC861" s="7">
        <f t="shared" si="170"/>
        <v>1.7523547586465007</v>
      </c>
      <c r="BF861" s="7">
        <f t="shared" si="171"/>
        <v>-1.7612011392587799</v>
      </c>
      <c r="BG861" s="7">
        <f t="shared" si="172"/>
        <v>6.211166666965469</v>
      </c>
      <c r="BI861" s="10">
        <f t="shared" si="173"/>
        <v>-3.3144139801657744</v>
      </c>
      <c r="BJ861">
        <f t="shared" si="174"/>
        <v>13.649274359965457</v>
      </c>
    </row>
    <row r="862" spans="42:62" x14ac:dyDescent="0.25">
      <c r="AP862" s="1">
        <v>857</v>
      </c>
      <c r="AQ862" s="7">
        <f t="shared" si="163"/>
        <v>72997.634128598816</v>
      </c>
      <c r="AR862" s="7">
        <f t="shared" si="164"/>
        <v>-289293.02234798472</v>
      </c>
      <c r="AS862" s="7"/>
      <c r="AT862" s="7">
        <f t="shared" si="165"/>
        <v>760.35710024519665</v>
      </c>
      <c r="AU862" s="7">
        <f t="shared" si="166"/>
        <v>-1124.0044896030117</v>
      </c>
      <c r="AV862" s="7"/>
      <c r="AX862" s="7">
        <f t="shared" si="167"/>
        <v>-1.0109505291087857</v>
      </c>
      <c r="AY862" s="7">
        <f t="shared" si="168"/>
        <v>5.6614425891245643</v>
      </c>
      <c r="BB862" s="7">
        <f t="shared" si="169"/>
        <v>-0.54213510888155581</v>
      </c>
      <c r="BC862" s="7">
        <f t="shared" si="170"/>
        <v>1.7447460548699802</v>
      </c>
      <c r="BF862" s="7">
        <f t="shared" si="171"/>
        <v>-1.7578469519245659</v>
      </c>
      <c r="BG862" s="7">
        <f t="shared" si="172"/>
        <v>6.1817920332507859</v>
      </c>
      <c r="BI862" s="10">
        <f t="shared" si="173"/>
        <v>-3.3109325899149074</v>
      </c>
      <c r="BJ862">
        <f t="shared" si="174"/>
        <v>13.58798067724533</v>
      </c>
    </row>
    <row r="863" spans="42:62" x14ac:dyDescent="0.25">
      <c r="AP863" s="1">
        <v>858</v>
      </c>
      <c r="AQ863" s="7">
        <f t="shared" si="163"/>
        <v>73377.398812147672</v>
      </c>
      <c r="AR863" s="7">
        <f t="shared" si="164"/>
        <v>-289853.32609520154</v>
      </c>
      <c r="AS863" s="7"/>
      <c r="AT863" s="7">
        <f t="shared" si="165"/>
        <v>758.70163395023917</v>
      </c>
      <c r="AU863" s="7">
        <f t="shared" si="166"/>
        <v>-1117.210499264389</v>
      </c>
      <c r="AV863" s="7"/>
      <c r="AX863" s="7">
        <f t="shared" si="167"/>
        <v>-1.0119610584440941</v>
      </c>
      <c r="AY863" s="7">
        <f t="shared" si="168"/>
        <v>5.6374044689995397</v>
      </c>
      <c r="BB863" s="7">
        <f t="shared" si="169"/>
        <v>-0.54098902435043017</v>
      </c>
      <c r="BC863" s="7">
        <f t="shared" si="170"/>
        <v>1.7372229297028912</v>
      </c>
      <c r="BF863" s="7">
        <f t="shared" si="171"/>
        <v>-1.7545272739310691</v>
      </c>
      <c r="BG863" s="7">
        <f t="shared" si="172"/>
        <v>6.152764244198921</v>
      </c>
      <c r="BI863" s="10">
        <f t="shared" si="173"/>
        <v>-3.3074773567255935</v>
      </c>
      <c r="BJ863">
        <f t="shared" si="174"/>
        <v>13.527391642901351</v>
      </c>
    </row>
    <row r="864" spans="42:62" x14ac:dyDescent="0.25">
      <c r="AP864" s="1">
        <v>859</v>
      </c>
      <c r="AQ864" s="7">
        <f t="shared" si="163"/>
        <v>73756.336194453193</v>
      </c>
      <c r="AR864" s="7">
        <f t="shared" si="164"/>
        <v>-290410.2404208784</v>
      </c>
      <c r="AS864" s="7"/>
      <c r="AT864" s="7">
        <f t="shared" si="165"/>
        <v>757.04789527187643</v>
      </c>
      <c r="AU864" s="7">
        <f t="shared" si="166"/>
        <v>-1110.4468034429383</v>
      </c>
      <c r="AV864" s="7"/>
      <c r="AX864" s="7">
        <f t="shared" si="167"/>
        <v>-1.0129508402878191</v>
      </c>
      <c r="AY864" s="7">
        <f t="shared" si="168"/>
        <v>5.613634591336095</v>
      </c>
      <c r="BB864" s="7">
        <f t="shared" si="169"/>
        <v>-0.53985583171989826</v>
      </c>
      <c r="BC864" s="7">
        <f t="shared" si="170"/>
        <v>1.7297841061453794</v>
      </c>
      <c r="BF864" s="7">
        <f t="shared" si="171"/>
        <v>-1.7512418326329746</v>
      </c>
      <c r="BG864" s="7">
        <f t="shared" si="172"/>
        <v>6.1240778515864518</v>
      </c>
      <c r="BI864" s="10">
        <f t="shared" si="173"/>
        <v>-3.3040485046406918</v>
      </c>
      <c r="BJ864">
        <f t="shared" si="174"/>
        <v>13.467496549067926</v>
      </c>
    </row>
    <row r="865" spans="42:62" x14ac:dyDescent="0.25">
      <c r="AP865" s="1">
        <v>860</v>
      </c>
      <c r="AQ865" s="7">
        <f t="shared" si="163"/>
        <v>74134.44713602605</v>
      </c>
      <c r="AR865" s="7">
        <f t="shared" si="164"/>
        <v>-290963.78038553119</v>
      </c>
      <c r="AS865" s="7"/>
      <c r="AT865" s="7">
        <f t="shared" si="165"/>
        <v>755.39587101955613</v>
      </c>
      <c r="AU865" s="7">
        <f t="shared" si="166"/>
        <v>-1103.7130551684043</v>
      </c>
      <c r="AV865" s="7"/>
      <c r="AX865" s="7">
        <f t="shared" si="167"/>
        <v>-1.0139205006047205</v>
      </c>
      <c r="AY865" s="7">
        <f t="shared" si="168"/>
        <v>5.5901290514794022</v>
      </c>
      <c r="BB865" s="7">
        <f t="shared" si="169"/>
        <v>-0.53873538743240401</v>
      </c>
      <c r="BC865" s="7">
        <f t="shared" si="170"/>
        <v>1.7224283326891481</v>
      </c>
      <c r="BF865" s="7">
        <f t="shared" si="171"/>
        <v>-1.747990357904402</v>
      </c>
      <c r="BG865" s="7">
        <f t="shared" si="172"/>
        <v>6.0957275207291053</v>
      </c>
      <c r="BI865" s="10">
        <f t="shared" si="173"/>
        <v>-3.3006462459415267</v>
      </c>
      <c r="BJ865">
        <f t="shared" si="174"/>
        <v>13.408284904897656</v>
      </c>
    </row>
    <row r="866" spans="42:62" x14ac:dyDescent="0.25">
      <c r="AP866" s="1">
        <v>861</v>
      </c>
      <c r="AQ866" s="7">
        <f t="shared" si="163"/>
        <v>74511.732490755079</v>
      </c>
      <c r="AR866" s="7">
        <f t="shared" si="164"/>
        <v>-291513.96087750228</v>
      </c>
      <c r="AS866" s="7"/>
      <c r="AT866" s="7">
        <f t="shared" si="165"/>
        <v>753.74554789658532</v>
      </c>
      <c r="AU866" s="7">
        <f t="shared" si="166"/>
        <v>-1097.0089127159554</v>
      </c>
      <c r="AV866" s="7"/>
      <c r="AX866" s="7">
        <f t="shared" si="167"/>
        <v>-1.0148706490624926</v>
      </c>
      <c r="AY866" s="7">
        <f t="shared" si="168"/>
        <v>5.5668840209025268</v>
      </c>
      <c r="BB866" s="7">
        <f t="shared" si="169"/>
        <v>-0.53762755039878563</v>
      </c>
      <c r="BC866" s="7">
        <f t="shared" si="170"/>
        <v>1.7151543826949029</v>
      </c>
      <c r="BF866" s="7">
        <f t="shared" si="171"/>
        <v>-1.7447725821551947</v>
      </c>
      <c r="BG866" s="7">
        <f t="shared" si="172"/>
        <v>6.0677080275957467</v>
      </c>
      <c r="BI866" s="10">
        <f t="shared" si="173"/>
        <v>-3.297270781616473</v>
      </c>
      <c r="BJ866">
        <f t="shared" si="174"/>
        <v>13.349746431193175</v>
      </c>
    </row>
    <row r="867" spans="42:62" x14ac:dyDescent="0.25">
      <c r="AP867" s="1">
        <v>862</v>
      </c>
      <c r="AQ867" s="7">
        <f t="shared" si="163"/>
        <v>74888.193105855666</v>
      </c>
      <c r="AR867" s="7">
        <f t="shared" si="164"/>
        <v>-292060.79661555635</v>
      </c>
      <c r="AS867" s="7"/>
      <c r="AT867" s="7">
        <f t="shared" si="165"/>
        <v>752.09691250577714</v>
      </c>
      <c r="AU867" s="7">
        <f t="shared" si="166"/>
        <v>-1090.3340395003588</v>
      </c>
      <c r="AV867" s="7"/>
      <c r="AX867" s="7">
        <f t="shared" si="167"/>
        <v>-1.0158018795186881</v>
      </c>
      <c r="AY867" s="7">
        <f t="shared" si="168"/>
        <v>5.5438957453991033</v>
      </c>
      <c r="BB867" s="7">
        <f t="shared" si="169"/>
        <v>-0.53653218194807273</v>
      </c>
      <c r="BC867" s="7">
        <f t="shared" si="170"/>
        <v>1.7079610537880106</v>
      </c>
      <c r="BF867" s="7">
        <f t="shared" si="171"/>
        <v>-1.7415882403445331</v>
      </c>
      <c r="BG867" s="7">
        <f t="shared" si="172"/>
        <v>6.0400142560086651</v>
      </c>
      <c r="BI867" s="10">
        <f t="shared" si="173"/>
        <v>-3.2939223018112935</v>
      </c>
      <c r="BJ867">
        <f t="shared" si="174"/>
        <v>13.291871055195779</v>
      </c>
    </row>
    <row r="868" spans="42:62" x14ac:dyDescent="0.25">
      <c r="AP868" s="1">
        <v>863</v>
      </c>
      <c r="AQ868" s="7">
        <f t="shared" si="163"/>
        <v>75263.829821820822</v>
      </c>
      <c r="AR868" s="7">
        <f t="shared" si="164"/>
        <v>-292604.30215142464</v>
      </c>
      <c r="AS868" s="7"/>
      <c r="AT868" s="7">
        <f t="shared" si="165"/>
        <v>750.44995135487147</v>
      </c>
      <c r="AU868" s="7">
        <f t="shared" si="166"/>
        <v>-1083.6881039727609</v>
      </c>
      <c r="AV868" s="7"/>
      <c r="AX868" s="7">
        <f t="shared" si="167"/>
        <v>-1.0167147704914661</v>
      </c>
      <c r="AY868" s="7">
        <f t="shared" si="168"/>
        <v>5.5211605433272206</v>
      </c>
      <c r="BB868" s="7">
        <f t="shared" si="169"/>
        <v>-0.535449145778508</v>
      </c>
      <c r="BC868" s="7">
        <f t="shared" si="170"/>
        <v>1.7008471672715386</v>
      </c>
      <c r="BF868" s="7">
        <f t="shared" si="171"/>
        <v>-1.73843706999231</v>
      </c>
      <c r="BG868" s="7">
        <f t="shared" si="172"/>
        <v>6.0126411949281513</v>
      </c>
      <c r="BI868" s="10">
        <f t="shared" si="173"/>
        <v>-3.2906009862622843</v>
      </c>
      <c r="BJ868">
        <f t="shared" si="174"/>
        <v>13.23464890552691</v>
      </c>
    </row>
    <row r="869" spans="42:62" x14ac:dyDescent="0.25">
      <c r="AP869" s="1">
        <v>864</v>
      </c>
      <c r="AQ869" s="7">
        <f t="shared" si="163"/>
        <v>75638.643472374984</v>
      </c>
      <c r="AR869" s="7">
        <f t="shared" si="164"/>
        <v>-293144.49187229783</v>
      </c>
      <c r="AS869" s="7"/>
      <c r="AT869" s="7">
        <f t="shared" si="165"/>
        <v>748.80465086174036</v>
      </c>
      <c r="AU869" s="7">
        <f t="shared" si="166"/>
        <v>-1077.0707795199974</v>
      </c>
      <c r="AV869" s="7"/>
      <c r="AX869" s="7">
        <f t="shared" si="167"/>
        <v>-1.0176098856146314</v>
      </c>
      <c r="AY869" s="7">
        <f t="shared" si="168"/>
        <v>5.4986748039020563</v>
      </c>
      <c r="BB869" s="7">
        <f t="shared" si="169"/>
        <v>-0.53437830790979224</v>
      </c>
      <c r="BC869" s="7">
        <f t="shared" si="170"/>
        <v>1.6938115675562033</v>
      </c>
      <c r="BF869" s="7">
        <f t="shared" si="171"/>
        <v>-1.7353188111882536</v>
      </c>
      <c r="BG869" s="7">
        <f t="shared" si="172"/>
        <v>5.9855839358179255</v>
      </c>
      <c r="BI869" s="10">
        <f t="shared" si="173"/>
        <v>-3.2873070047126776</v>
      </c>
      <c r="BJ869">
        <f t="shared" si="174"/>
        <v>13.178070307276185</v>
      </c>
    </row>
    <row r="870" spans="42:62" x14ac:dyDescent="0.25">
      <c r="AP870" s="1">
        <v>865</v>
      </c>
      <c r="AQ870" s="7">
        <f t="shared" si="163"/>
        <v>76012.63488443027</v>
      </c>
      <c r="AR870" s="7">
        <f t="shared" si="164"/>
        <v>-293681.38000326941</v>
      </c>
      <c r="AS870" s="7"/>
      <c r="AT870" s="7">
        <f t="shared" si="165"/>
        <v>747.16099735938406</v>
      </c>
      <c r="AU870" s="7">
        <f t="shared" si="166"/>
        <v>-1070.4817443663592</v>
      </c>
      <c r="AV870" s="7"/>
      <c r="AX870" s="7">
        <f t="shared" si="167"/>
        <v>-1.0184877740777087</v>
      </c>
      <c r="AY870" s="7">
        <f t="shared" si="168"/>
        <v>5.4764349855366117</v>
      </c>
      <c r="BB870" s="7">
        <f t="shared" si="169"/>
        <v>-0.53331953663650211</v>
      </c>
      <c r="BC870" s="7">
        <f t="shared" si="170"/>
        <v>1.6868531216066123</v>
      </c>
      <c r="BF870" s="7">
        <f t="shared" si="171"/>
        <v>-1.7322332065989618</v>
      </c>
      <c r="BG870" s="7">
        <f t="shared" si="172"/>
        <v>5.9588376700887258</v>
      </c>
      <c r="BI870" s="10">
        <f t="shared" si="173"/>
        <v>-3.2840405173131728</v>
      </c>
      <c r="BJ870">
        <f t="shared" si="174"/>
        <v>13.12212577723195</v>
      </c>
    </row>
    <row r="871" spans="42:62" x14ac:dyDescent="0.25">
      <c r="AP871" s="1">
        <v>866</v>
      </c>
      <c r="AQ871" s="7">
        <f t="shared" si="163"/>
        <v>76385.804878045295</v>
      </c>
      <c r="AR871" s="7">
        <f t="shared" si="164"/>
        <v>-294214.98060973041</v>
      </c>
      <c r="AS871" s="7"/>
      <c r="AT871" s="7">
        <f t="shared" si="165"/>
        <v>745.51897710072751</v>
      </c>
      <c r="AU871" s="7">
        <f t="shared" si="166"/>
        <v>-1063.9206814777433</v>
      </c>
      <c r="AV871" s="7"/>
      <c r="AX871" s="7">
        <f t="shared" si="167"/>
        <v>-1.0193489710515129</v>
      </c>
      <c r="AY871" s="7">
        <f t="shared" si="168"/>
        <v>5.4544376142284428</v>
      </c>
      <c r="BB871" s="7">
        <f t="shared" si="169"/>
        <v>-0.53227270248263492</v>
      </c>
      <c r="BC871" s="7">
        <f t="shared" si="170"/>
        <v>1.6799707184032329</v>
      </c>
      <c r="BF871" s="7">
        <f t="shared" si="171"/>
        <v>-1.7291800014729055</v>
      </c>
      <c r="BG871" s="7">
        <f t="shared" si="172"/>
        <v>5.9323976866171533</v>
      </c>
      <c r="BI871" s="10">
        <f t="shared" si="173"/>
        <v>-3.2808016750070532</v>
      </c>
      <c r="BJ871">
        <f t="shared" si="174"/>
        <v>13.06680601924883</v>
      </c>
    </row>
    <row r="872" spans="42:62" x14ac:dyDescent="0.25">
      <c r="AP872" s="1">
        <v>867</v>
      </c>
      <c r="AQ872" s="7">
        <f t="shared" si="163"/>
        <v>76758.154266386278</v>
      </c>
      <c r="AR872" s="7">
        <f t="shared" si="164"/>
        <v>-294745.30759971688</v>
      </c>
      <c r="AS872" s="7"/>
      <c r="AT872" s="7">
        <f t="shared" si="165"/>
        <v>743.87857626322398</v>
      </c>
      <c r="AU872" s="7">
        <f t="shared" si="166"/>
        <v>-1057.3872784681189</v>
      </c>
      <c r="AV872" s="7"/>
      <c r="AX872" s="7">
        <f t="shared" si="167"/>
        <v>-1.0201939980997488</v>
      </c>
      <c r="AY872" s="7">
        <f t="shared" si="168"/>
        <v>5.4326792819909597</v>
      </c>
      <c r="BB872" s="7">
        <f t="shared" si="169"/>
        <v>-0.5312376781573126</v>
      </c>
      <c r="BC872" s="7">
        <f t="shared" si="170"/>
        <v>1.6731632684197542</v>
      </c>
      <c r="BF872" s="7">
        <f t="shared" si="171"/>
        <v>-1.7261589436438929</v>
      </c>
      <c r="BG872" s="7">
        <f t="shared" si="172"/>
        <v>5.9062593693384606</v>
      </c>
      <c r="BI872" s="10">
        <f t="shared" si="173"/>
        <v>-3.2775906199009546</v>
      </c>
      <c r="BJ872">
        <f t="shared" si="174"/>
        <v>13.012101919749174</v>
      </c>
    </row>
    <row r="873" spans="42:62" x14ac:dyDescent="0.25">
      <c r="AP873" s="1">
        <v>868</v>
      </c>
      <c r="AQ873" s="7">
        <f t="shared" si="163"/>
        <v>77129.683855690411</v>
      </c>
      <c r="AR873" s="7">
        <f t="shared" si="164"/>
        <v>-295272.37472621095</v>
      </c>
      <c r="AS873" s="7"/>
      <c r="AT873" s="7">
        <f t="shared" si="165"/>
        <v>742.23978095327345</v>
      </c>
      <c r="AU873" s="7">
        <f t="shared" si="166"/>
        <v>-1050.8812275082444</v>
      </c>
      <c r="AV873" s="7"/>
      <c r="AX873" s="7">
        <f t="shared" si="167"/>
        <v>-1.0210233635771944</v>
      </c>
      <c r="AY873" s="7">
        <f t="shared" si="168"/>
        <v>5.4111566453280657</v>
      </c>
      <c r="BB873" s="7">
        <f t="shared" si="169"/>
        <v>-0.53021433851149391</v>
      </c>
      <c r="BC873" s="7">
        <f t="shared" si="170"/>
        <v>1.6664297031149882</v>
      </c>
      <c r="BF873" s="7">
        <f t="shared" si="171"/>
        <v>-1.7231697835323811</v>
      </c>
      <c r="BG873" s="7">
        <f t="shared" si="172"/>
        <v>5.8804181949083363</v>
      </c>
      <c r="BI873" s="10">
        <f t="shared" si="173"/>
        <v>-3.2744074856210696</v>
      </c>
      <c r="BJ873">
        <f t="shared" si="174"/>
        <v>12.95800454335139</v>
      </c>
    </row>
    <row r="874" spans="42:62" x14ac:dyDescent="0.25">
      <c r="AP874" s="1">
        <v>869</v>
      </c>
      <c r="AQ874" s="7">
        <f t="shared" si="163"/>
        <v>77500.394445231344</v>
      </c>
      <c r="AR874" s="7">
        <f t="shared" si="164"/>
        <v>-295796.1955893971</v>
      </c>
      <c r="AS874" s="7"/>
      <c r="AT874" s="7">
        <f t="shared" si="165"/>
        <v>740.60257721046287</v>
      </c>
      <c r="AU874" s="7">
        <f t="shared" si="166"/>
        <v>-1044.4022252365687</v>
      </c>
      <c r="AV874" s="7"/>
      <c r="AX874" s="7">
        <f t="shared" si="167"/>
        <v>-1.021837563014895</v>
      </c>
      <c r="AY874" s="7">
        <f t="shared" si="168"/>
        <v>5.3898664237504361</v>
      </c>
      <c r="BB874" s="7">
        <f t="shared" si="169"/>
        <v>-0.52920256049581016</v>
      </c>
      <c r="BC874" s="7">
        <f t="shared" si="170"/>
        <v>1.6597689744392761</v>
      </c>
      <c r="BF874" s="7">
        <f t="shared" si="171"/>
        <v>-1.7202122741455406</v>
      </c>
      <c r="BG874" s="7">
        <f t="shared" si="172"/>
        <v>5.8548697304340305</v>
      </c>
      <c r="BI874" s="10">
        <f t="shared" si="173"/>
        <v>-3.2712523976562453</v>
      </c>
      <c r="BJ874">
        <f t="shared" si="174"/>
        <v>12.904505128623743</v>
      </c>
    </row>
    <row r="875" spans="42:62" x14ac:dyDescent="0.25">
      <c r="AP875" s="1">
        <v>870</v>
      </c>
      <c r="AQ875" s="7">
        <f t="shared" si="163"/>
        <v>77870.286827286865</v>
      </c>
      <c r="AR875" s="7">
        <f t="shared" si="164"/>
        <v>-296316.7836388743</v>
      </c>
      <c r="AS875" s="7"/>
      <c r="AT875" s="7">
        <f t="shared" si="165"/>
        <v>738.96695101163471</v>
      </c>
      <c r="AU875" s="7">
        <f t="shared" si="166"/>
        <v>-1037.9499726722568</v>
      </c>
      <c r="AV875" s="7"/>
      <c r="AX875" s="7">
        <f t="shared" si="167"/>
        <v>-1.0226370794929223</v>
      </c>
      <c r="AY875" s="7">
        <f t="shared" si="168"/>
        <v>5.3688053983325617</v>
      </c>
      <c r="BB875" s="7">
        <f t="shared" si="169"/>
        <v>-0.52820222311937026</v>
      </c>
      <c r="BC875" s="7">
        <f t="shared" si="170"/>
        <v>1.6531800543545401</v>
      </c>
      <c r="BF875" s="7">
        <f t="shared" si="171"/>
        <v>-1.7172861710757126</v>
      </c>
      <c r="BG875" s="7">
        <f t="shared" si="172"/>
        <v>5.8296096312709436</v>
      </c>
      <c r="BI875" s="10">
        <f t="shared" si="173"/>
        <v>-3.2681254736880048</v>
      </c>
      <c r="BJ875">
        <f t="shared" si="174"/>
        <v>12.851595083958046</v>
      </c>
    </row>
    <row r="876" spans="42:62" x14ac:dyDescent="0.25">
      <c r="AP876" s="1">
        <v>871</v>
      </c>
      <c r="AQ876" s="7">
        <f t="shared" si="163"/>
        <v>78239.361787108472</v>
      </c>
      <c r="AR876" s="7">
        <f t="shared" si="164"/>
        <v>-296834.15217582491</v>
      </c>
      <c r="AS876" s="7"/>
      <c r="AT876" s="7">
        <f t="shared" si="165"/>
        <v>737.33288827479066</v>
      </c>
      <c r="AU876" s="7">
        <f t="shared" si="166"/>
        <v>-1031.5241751302779</v>
      </c>
      <c r="AV876" s="7"/>
      <c r="AX876" s="7">
        <f t="shared" si="167"/>
        <v>-1.0234223840010943</v>
      </c>
      <c r="AY876" s="7">
        <f t="shared" si="168"/>
        <v>5.3479704103089611</v>
      </c>
      <c r="BB876" s="7">
        <f t="shared" si="169"/>
        <v>-0.527213207409582</v>
      </c>
      <c r="BC876" s="7">
        <f t="shared" si="170"/>
        <v>1.6466619343677822</v>
      </c>
      <c r="BF876" s="7">
        <f t="shared" si="171"/>
        <v>-1.714391232497303</v>
      </c>
      <c r="BG876" s="7">
        <f t="shared" si="172"/>
        <v>5.8046336388823141</v>
      </c>
      <c r="BI876" s="10">
        <f t="shared" si="173"/>
        <v>-3.2650268239079789</v>
      </c>
      <c r="BJ876">
        <f t="shared" si="174"/>
        <v>12.799265983559057</v>
      </c>
    </row>
    <row r="877" spans="42:62" x14ac:dyDescent="0.25">
      <c r="AP877" s="1">
        <v>872</v>
      </c>
      <c r="AQ877" s="7">
        <f t="shared" si="163"/>
        <v>78607.620102892892</v>
      </c>
      <c r="AR877" s="7">
        <f t="shared" si="164"/>
        <v>-297348.31435514212</v>
      </c>
      <c r="AS877" s="7"/>
      <c r="AT877" s="7">
        <f t="shared" si="165"/>
        <v>735.70037486283672</v>
      </c>
      <c r="AU877" s="7">
        <f t="shared" si="166"/>
        <v>-1025.1245421384983</v>
      </c>
      <c r="AV877" s="7"/>
      <c r="AX877" s="7">
        <f t="shared" si="167"/>
        <v>-1.024193935788082</v>
      </c>
      <c r="AY877" s="7">
        <f t="shared" si="168"/>
        <v>5.3273583597083141</v>
      </c>
      <c r="BB877" s="7">
        <f t="shared" si="169"/>
        <v>-0.5262353963729306</v>
      </c>
      <c r="BC877" s="7">
        <f t="shared" si="170"/>
        <v>1.6402136250774939</v>
      </c>
      <c r="BF877" s="7">
        <f t="shared" si="171"/>
        <v>-1.7115272191626127</v>
      </c>
      <c r="BG877" s="7">
        <f t="shared" si="172"/>
        <v>5.7799375787612792</v>
      </c>
      <c r="BI877" s="10">
        <f t="shared" si="173"/>
        <v>-3.2619565513236255</v>
      </c>
      <c r="BJ877">
        <f t="shared" si="174"/>
        <v>12.747509563547087</v>
      </c>
    </row>
    <row r="878" spans="42:62" x14ac:dyDescent="0.25">
      <c r="AP878" s="1">
        <v>873</v>
      </c>
      <c r="AQ878" s="7">
        <f t="shared" si="163"/>
        <v>78975.062545755398</v>
      </c>
      <c r="AR878" s="7">
        <f t="shared" si="164"/>
        <v>-297859.28318751598</v>
      </c>
      <c r="AS878" s="7"/>
      <c r="AT878" s="7">
        <f t="shared" si="165"/>
        <v>734.06939658717488</v>
      </c>
      <c r="AU878" s="7">
        <f t="shared" si="166"/>
        <v>-1018.7507873567248</v>
      </c>
      <c r="AV878" s="7"/>
      <c r="AX878" s="7">
        <f t="shared" si="167"/>
        <v>-1.0249521826993635</v>
      </c>
      <c r="AY878" s="7">
        <f t="shared" si="168"/>
        <v>5.3069662040245431</v>
      </c>
      <c r="BB878" s="7">
        <f t="shared" si="169"/>
        <v>-0.52526867495668361</v>
      </c>
      <c r="BC878" s="7">
        <f t="shared" si="170"/>
        <v>1.6338341557325533</v>
      </c>
      <c r="BF878" s="7">
        <f t="shared" si="171"/>
        <v>-1.7086938943962564</v>
      </c>
      <c r="BG878" s="7">
        <f t="shared" si="172"/>
        <v>5.7555173584117805</v>
      </c>
      <c r="BI878" s="10">
        <f t="shared" si="173"/>
        <v>-3.2589147520523034</v>
      </c>
      <c r="BJ878">
        <f t="shared" si="174"/>
        <v>12.696317718168878</v>
      </c>
    </row>
    <row r="879" spans="42:62" x14ac:dyDescent="0.25">
      <c r="AP879" s="1">
        <v>874</v>
      </c>
      <c r="AQ879" s="7">
        <f t="shared" si="163"/>
        <v>79341.68987970498</v>
      </c>
      <c r="AR879" s="7">
        <f t="shared" si="164"/>
        <v>-298367.07154147956</v>
      </c>
      <c r="AS879" s="7"/>
      <c r="AT879" s="7">
        <f t="shared" si="165"/>
        <v>732.43993921114873</v>
      </c>
      <c r="AU879" s="7">
        <f t="shared" si="166"/>
        <v>-1012.4026284976403</v>
      </c>
      <c r="AV879" s="7"/>
      <c r="AX879" s="7">
        <f t="shared" si="167"/>
        <v>-1.0256975615044202</v>
      </c>
      <c r="AY879" s="7">
        <f t="shared" si="168"/>
        <v>5.286790956923678</v>
      </c>
      <c r="BB879" s="7">
        <f t="shared" si="169"/>
        <v>-0.52431293001152535</v>
      </c>
      <c r="BC879" s="7">
        <f t="shared" si="170"/>
        <v>1.6275225738033012</v>
      </c>
      <c r="BF879" s="7">
        <f t="shared" si="171"/>
        <v>-1.705891024088523</v>
      </c>
      <c r="BG879" s="7">
        <f t="shared" si="172"/>
        <v>5.731368965387289</v>
      </c>
      <c r="BI879" s="10">
        <f t="shared" si="173"/>
        <v>-3.2559015156044682</v>
      </c>
      <c r="BJ879">
        <f t="shared" si="174"/>
        <v>12.645682496114269</v>
      </c>
    </row>
    <row r="880" spans="42:62" x14ac:dyDescent="0.25">
      <c r="AP880" s="1">
        <v>875</v>
      </c>
      <c r="AQ880" s="7">
        <f t="shared" si="163"/>
        <v>79707.502861621106</v>
      </c>
      <c r="AR880" s="7">
        <f t="shared" si="164"/>
        <v>-298871.6921454164</v>
      </c>
      <c r="AS880" s="7"/>
      <c r="AT880" s="7">
        <f t="shared" si="165"/>
        <v>730.81198845334654</v>
      </c>
      <c r="AU880" s="7">
        <f t="shared" si="166"/>
        <v>-1006.0797872495832</v>
      </c>
      <c r="AV880" s="7"/>
      <c r="AX880" s="7">
        <f t="shared" si="167"/>
        <v>-1.02643049821345</v>
      </c>
      <c r="AY880" s="7">
        <f t="shared" si="168"/>
        <v>5.2668296869848268</v>
      </c>
      <c r="BB880" s="7">
        <f t="shared" si="169"/>
        <v>-0.52336805025508537</v>
      </c>
      <c r="BC880" s="7">
        <f t="shared" si="170"/>
        <v>1.6212779445643746</v>
      </c>
      <c r="BF880" s="7">
        <f t="shared" si="171"/>
        <v>-1.7031183766875373</v>
      </c>
      <c r="BG880" s="7">
        <f t="shared" si="172"/>
        <v>5.7074884653847233</v>
      </c>
      <c r="BI880" s="10">
        <f t="shared" si="173"/>
        <v>-3.2529169251560726</v>
      </c>
      <c r="BJ880">
        <f t="shared" si="174"/>
        <v>12.595596096933924</v>
      </c>
    </row>
    <row r="881" spans="42:62" x14ac:dyDescent="0.25">
      <c r="AP881" s="1">
        <v>876</v>
      </c>
      <c r="AQ881" s="7">
        <f t="shared" si="163"/>
        <v>80072.502241232141</v>
      </c>
      <c r="AR881" s="7">
        <f t="shared" si="164"/>
        <v>-299373.15758952906</v>
      </c>
      <c r="AS881" s="7"/>
      <c r="AT881" s="7">
        <f t="shared" si="165"/>
        <v>729.18552999076849</v>
      </c>
      <c r="AU881" s="7">
        <f t="shared" si="166"/>
        <v>-999.78198920111629</v>
      </c>
      <c r="AV881" s="7"/>
      <c r="AX881" s="7">
        <f t="shared" si="167"/>
        <v>-1.0271514083842239</v>
      </c>
      <c r="AY881" s="7">
        <f t="shared" si="168"/>
        <v>5.2470795164755168</v>
      </c>
      <c r="BB881" s="7">
        <f t="shared" si="169"/>
        <v>-0.52243392623628626</v>
      </c>
      <c r="BC881" s="7">
        <f t="shared" si="170"/>
        <v>1.615099350688775</v>
      </c>
      <c r="BF881" s="7">
        <f t="shared" si="171"/>
        <v>-1.7003757231906453</v>
      </c>
      <c r="BG881" s="7">
        <f t="shared" si="172"/>
        <v>5.6838720003929142</v>
      </c>
      <c r="BI881" s="10">
        <f t="shared" si="173"/>
        <v>-3.2499610578111557</v>
      </c>
      <c r="BJ881">
        <f t="shared" si="174"/>
        <v>12.546050867557206</v>
      </c>
    </row>
    <row r="882" spans="42:62" x14ac:dyDescent="0.25">
      <c r="AP882" s="1">
        <v>877</v>
      </c>
      <c r="AQ882" s="7">
        <f t="shared" si="163"/>
        <v>80436.688761095298</v>
      </c>
      <c r="AR882" s="7">
        <f t="shared" si="164"/>
        <v>-299871.48032777116</v>
      </c>
      <c r="AS882" s="7"/>
      <c r="AT882" s="7">
        <f t="shared" si="165"/>
        <v>727.56054946186293</v>
      </c>
      <c r="AU882" s="7">
        <f t="shared" si="166"/>
        <v>-993.50896376733772</v>
      </c>
      <c r="AV882" s="7"/>
      <c r="AX882" s="7">
        <f t="shared" si="167"/>
        <v>-1.0278606974190785</v>
      </c>
      <c r="AY882" s="7">
        <f t="shared" si="168"/>
        <v>5.2275376201585226</v>
      </c>
      <c r="BB882" s="7">
        <f t="shared" si="169"/>
        <v>-0.52151045030058818</v>
      </c>
      <c r="BC882" s="7">
        <f t="shared" si="170"/>
        <v>1.6089858918531266</v>
      </c>
      <c r="BF882" s="7">
        <f t="shared" si="171"/>
        <v>-1.697662837134674</v>
      </c>
      <c r="BG882" s="7">
        <f t="shared" si="172"/>
        <v>5.6605157868924714</v>
      </c>
      <c r="BI882" s="10">
        <f t="shared" si="173"/>
        <v>-3.2470339848543408</v>
      </c>
      <c r="BJ882">
        <f t="shared" si="174"/>
        <v>12.49703929890412</v>
      </c>
    </row>
    <row r="883" spans="42:62" x14ac:dyDescent="0.25">
      <c r="AP883" s="1">
        <v>878</v>
      </c>
      <c r="AQ883" s="7">
        <f t="shared" si="163"/>
        <v>80800.063156578122</v>
      </c>
      <c r="AR883" s="7">
        <f t="shared" si="164"/>
        <v>-300366.67267974245</v>
      </c>
      <c r="AS883" s="7"/>
      <c r="AT883" s="7">
        <f t="shared" si="165"/>
        <v>725.93703246943574</v>
      </c>
      <c r="AU883" s="7">
        <f t="shared" si="166"/>
        <v>-987.26044411788564</v>
      </c>
      <c r="AV883" s="7"/>
      <c r="AX883" s="7">
        <f t="shared" si="167"/>
        <v>-1.0285587608527476</v>
      </c>
      <c r="AY883" s="7">
        <f t="shared" si="168"/>
        <v>5.2082012241310327</v>
      </c>
      <c r="BB883" s="7">
        <f t="shared" si="169"/>
        <v>-0.52059751655599384</v>
      </c>
      <c r="BC883" s="7">
        <f t="shared" si="170"/>
        <v>1.6029366843534225</v>
      </c>
      <c r="BF883" s="7">
        <f t="shared" si="171"/>
        <v>-1.6949794945853991</v>
      </c>
      <c r="BG883" s="7">
        <f t="shared" si="172"/>
        <v>5.6374161141062435</v>
      </c>
      <c r="BI883" s="10">
        <f t="shared" si="173"/>
        <v>-3.2441357719941406</v>
      </c>
      <c r="BJ883">
        <f t="shared" si="174"/>
        <v>12.448554022590699</v>
      </c>
    </row>
    <row r="884" spans="42:62" x14ac:dyDescent="0.25">
      <c r="AP884" s="1">
        <v>879</v>
      </c>
      <c r="AQ884" s="7">
        <f t="shared" si="163"/>
        <v>81162.626155841339</v>
      </c>
      <c r="AR884" s="7">
        <f t="shared" si="164"/>
        <v>-300858.74683254858</v>
      </c>
      <c r="AS884" s="7"/>
      <c r="AT884" s="7">
        <f t="shared" si="165"/>
        <v>724.31496458343861</v>
      </c>
      <c r="AU884" s="7">
        <f t="shared" si="166"/>
        <v>-981.03616710659026</v>
      </c>
      <c r="AV884" s="7"/>
      <c r="AX884" s="7">
        <f t="shared" si="167"/>
        <v>-1.0292459846311239</v>
      </c>
      <c r="AY884" s="7">
        <f t="shared" si="168"/>
        <v>5.1890676046939959</v>
      </c>
      <c r="BB884" s="7">
        <f t="shared" si="169"/>
        <v>-0.51969502083988195</v>
      </c>
      <c r="BC884" s="7">
        <f t="shared" si="170"/>
        <v>1.5969508607312148</v>
      </c>
      <c r="BF884" s="7">
        <f t="shared" si="171"/>
        <v>-1.6923254741262173</v>
      </c>
      <c r="BG884" s="7">
        <f t="shared" si="172"/>
        <v>5.6145693422985632</v>
      </c>
      <c r="BI884" s="10">
        <f t="shared" si="173"/>
        <v>-3.2412664795972228</v>
      </c>
      <c r="BJ884">
        <f t="shared" si="174"/>
        <v>12.400587807723774</v>
      </c>
    </row>
    <row r="885" spans="42:62" x14ac:dyDescent="0.25">
      <c r="AP885" s="1">
        <v>880</v>
      </c>
      <c r="AQ885" s="7">
        <f t="shared" si="163"/>
        <v>81524.378479823106</v>
      </c>
      <c r="AR885" s="7">
        <f t="shared" si="164"/>
        <v>-301347.71484262589</v>
      </c>
      <c r="AS885" s="7"/>
      <c r="AT885" s="7">
        <f t="shared" si="165"/>
        <v>722.69433134363999</v>
      </c>
      <c r="AU885" s="7">
        <f t="shared" si="166"/>
        <v>-974.83587320272841</v>
      </c>
      <c r="AV885" s="7"/>
      <c r="AX885" s="7">
        <f t="shared" si="167"/>
        <v>-1.0299227453812907</v>
      </c>
      <c r="AY885" s="7">
        <f t="shared" si="168"/>
        <v>5.1701340872508359</v>
      </c>
      <c r="BB885" s="7">
        <f t="shared" si="169"/>
        <v>-0.51880286068663084</v>
      </c>
      <c r="BC885" s="7">
        <f t="shared" si="170"/>
        <v>1.5910275694098603</v>
      </c>
      <c r="BF885" s="7">
        <f t="shared" si="171"/>
        <v>-1.6897005568460686</v>
      </c>
      <c r="BG885" s="7">
        <f t="shared" si="172"/>
        <v>5.5919719011216342</v>
      </c>
      <c r="BI885" s="10">
        <f t="shared" si="173"/>
        <v>-3.2384261629139903</v>
      </c>
      <c r="BJ885">
        <f t="shared" si="174"/>
        <v>12.35313355778233</v>
      </c>
    </row>
    <row r="886" spans="42:62" x14ac:dyDescent="0.25">
      <c r="AP886" s="1">
        <v>881</v>
      </c>
      <c r="AQ886" s="7">
        <f t="shared" si="163"/>
        <v>81885.320842224566</v>
      </c>
      <c r="AR886" s="7">
        <f t="shared" si="164"/>
        <v>-301833.58863753255</v>
      </c>
      <c r="AS886" s="7"/>
      <c r="AT886" s="7">
        <f t="shared" si="165"/>
        <v>721.07511826218297</v>
      </c>
      <c r="AU886" s="7">
        <f t="shared" si="166"/>
        <v>-968.65930642383728</v>
      </c>
      <c r="AV886" s="7"/>
      <c r="AX886" s="7">
        <f t="shared" si="167"/>
        <v>-1.0305894106733</v>
      </c>
      <c r="AY886" s="7">
        <f t="shared" si="168"/>
        <v>5.1513980452355703</v>
      </c>
      <c r="BB886" s="7">
        <f t="shared" si="169"/>
        <v>-0.51792093529593164</v>
      </c>
      <c r="BC886" s="7">
        <f t="shared" si="170"/>
        <v>1.5851659743402873</v>
      </c>
      <c r="BF886" s="7">
        <f t="shared" si="171"/>
        <v>-1.687104526326656</v>
      </c>
      <c r="BG886" s="7">
        <f t="shared" si="172"/>
        <v>5.5696202880075507</v>
      </c>
      <c r="BI886" s="10">
        <f t="shared" si="173"/>
        <v>-3.235614872295888</v>
      </c>
      <c r="BJ886">
        <f t="shared" si="174"/>
        <v>12.306184307583408</v>
      </c>
    </row>
    <row r="887" spans="42:62" x14ac:dyDescent="0.25">
      <c r="AP887" s="1">
        <v>882</v>
      </c>
      <c r="AQ887" s="7">
        <f t="shared" si="163"/>
        <v>82245.453949496616</v>
      </c>
      <c r="AR887" s="7">
        <f t="shared" si="164"/>
        <v>-302316.38001770602</v>
      </c>
      <c r="AS887" s="7"/>
      <c r="AT887" s="7">
        <f t="shared" si="165"/>
        <v>719.45731082603504</v>
      </c>
      <c r="AU887" s="7">
        <f t="shared" si="166"/>
        <v>-962.50621427004558</v>
      </c>
      <c r="AV887" s="7"/>
      <c r="AX887" s="7">
        <f t="shared" si="167"/>
        <v>-1.0312463392737203</v>
      </c>
      <c r="AY887" s="7">
        <f t="shared" si="168"/>
        <v>5.1328568990680301</v>
      </c>
      <c r="BB887" s="7">
        <f t="shared" si="169"/>
        <v>-0.51704914550189207</v>
      </c>
      <c r="BC887" s="7">
        <f t="shared" si="170"/>
        <v>1.579365254656333</v>
      </c>
      <c r="BF887" s="7">
        <f t="shared" si="171"/>
        <v>-1.6845371686290889</v>
      </c>
      <c r="BG887" s="7">
        <f t="shared" si="172"/>
        <v>5.5475110666047298</v>
      </c>
      <c r="BI887" s="10">
        <f t="shared" si="173"/>
        <v>-3.2328326534047012</v>
      </c>
      <c r="BJ887">
        <f t="shared" si="174"/>
        <v>12.259733220329093</v>
      </c>
    </row>
    <row r="888" spans="42:62" x14ac:dyDescent="0.25">
      <c r="AP888" s="1">
        <v>883</v>
      </c>
      <c r="AQ888" s="7">
        <f t="shared" si="163"/>
        <v>82604.778500827946</v>
      </c>
      <c r="AR888" s="7">
        <f t="shared" si="164"/>
        <v>-302796.10065818852</v>
      </c>
      <c r="AS888" s="7"/>
      <c r="AT888" s="7">
        <f t="shared" si="165"/>
        <v>717.84089449933265</v>
      </c>
      <c r="AU888" s="7">
        <f t="shared" si="166"/>
        <v>-956.37634765988105</v>
      </c>
      <c r="AV888" s="7"/>
      <c r="AX888" s="7">
        <f t="shared" si="167"/>
        <v>-1.0318938813914469</v>
      </c>
      <c r="AY888" s="7">
        <f t="shared" si="168"/>
        <v>5.1145081151365268</v>
      </c>
      <c r="BB888" s="7">
        <f t="shared" si="169"/>
        <v>-0.51618739374281764</v>
      </c>
      <c r="BC888" s="7">
        <f t="shared" si="170"/>
        <v>1.5736246043391</v>
      </c>
      <c r="BF888" s="7">
        <f t="shared" si="171"/>
        <v>-1.6819982722798206</v>
      </c>
      <c r="BG888" s="7">
        <f t="shared" si="172"/>
        <v>5.5256408652567686</v>
      </c>
      <c r="BI888" s="10">
        <f t="shared" si="173"/>
        <v>-3.2300795474140855</v>
      </c>
      <c r="BJ888">
        <f t="shared" si="174"/>
        <v>12.213773584732396</v>
      </c>
    </row>
    <row r="889" spans="42:62" x14ac:dyDescent="0.25">
      <c r="AP889" s="1">
        <v>884</v>
      </c>
      <c r="AQ889" s="7">
        <f t="shared" si="163"/>
        <v>82963.295188134187</v>
      </c>
      <c r="AR889" s="7">
        <f t="shared" si="164"/>
        <v>-303272.76211032033</v>
      </c>
      <c r="AS889" s="7"/>
      <c r="AT889" s="7">
        <f t="shared" si="165"/>
        <v>716.2258547256256</v>
      </c>
      <c r="AU889" s="7">
        <f t="shared" si="166"/>
        <v>-950.26946086751479</v>
      </c>
      <c r="AV889" s="7"/>
      <c r="AX889" s="7">
        <f t="shared" si="167"/>
        <v>-1.032532378916023</v>
      </c>
      <c r="AY889" s="7">
        <f t="shared" si="168"/>
        <v>5.0963492048069412</v>
      </c>
      <c r="BB889" s="7">
        <f t="shared" si="169"/>
        <v>-0.51533558403172408</v>
      </c>
      <c r="BC889" s="7">
        <f t="shared" si="170"/>
        <v>1.5679432318902533</v>
      </c>
      <c r="BF889" s="7">
        <f t="shared" si="171"/>
        <v>-1.6794876282562241</v>
      </c>
      <c r="BG889" s="7">
        <f t="shared" si="172"/>
        <v>5.5040063755233462</v>
      </c>
      <c r="BI889" s="10">
        <f t="shared" si="173"/>
        <v>-3.2273555912039713</v>
      </c>
      <c r="BJ889">
        <f t="shared" si="174"/>
        <v>12.168298812220542</v>
      </c>
    </row>
    <row r="890" spans="42:62" x14ac:dyDescent="0.25">
      <c r="AP890" s="1">
        <v>885</v>
      </c>
      <c r="AQ890" s="7">
        <f t="shared" si="163"/>
        <v>83321.004696048098</v>
      </c>
      <c r="AR890" s="7">
        <f t="shared" si="164"/>
        <v>-303746.37580340257</v>
      </c>
      <c r="AS890" s="7"/>
      <c r="AT890" s="7">
        <f t="shared" si="165"/>
        <v>714.61217693002357</v>
      </c>
      <c r="AU890" s="7">
        <f t="shared" si="166"/>
        <v>-944.18531146140458</v>
      </c>
      <c r="AV890" s="7"/>
      <c r="AX890" s="7">
        <f t="shared" si="167"/>
        <v>-1.0331621656485048</v>
      </c>
      <c r="AY890" s="7">
        <f t="shared" si="168"/>
        <v>5.0783777234564482</v>
      </c>
      <c r="BB890" s="7">
        <f t="shared" si="169"/>
        <v>-0.51449362192746706</v>
      </c>
      <c r="BC890" s="7">
        <f t="shared" si="170"/>
        <v>1.5623203600137168</v>
      </c>
      <c r="BF890" s="7">
        <f t="shared" si="171"/>
        <v>-1.6770050299714374</v>
      </c>
      <c r="BG890" s="7">
        <f t="shared" si="172"/>
        <v>5.4826043507405409</v>
      </c>
      <c r="BI890" s="10">
        <f t="shared" si="173"/>
        <v>-3.2246608175474094</v>
      </c>
      <c r="BJ890">
        <f t="shared" si="174"/>
        <v>12.123302434210705</v>
      </c>
    </row>
    <row r="891" spans="42:62" x14ac:dyDescent="0.25">
      <c r="AP891" s="1">
        <v>886</v>
      </c>
      <c r="AQ891" s="7">
        <f t="shared" si="163"/>
        <v>83677.907701910925</v>
      </c>
      <c r="AR891" s="7">
        <f t="shared" si="164"/>
        <v>-304216.95304632903</v>
      </c>
      <c r="AS891" s="7"/>
      <c r="AT891" s="7">
        <f t="shared" si="165"/>
        <v>712.99984652124988</v>
      </c>
      <c r="AU891" s="7">
        <f t="shared" si="166"/>
        <v>-938.12366024429923</v>
      </c>
      <c r="AV891" s="7"/>
      <c r="AX891" s="7">
        <f t="shared" si="167"/>
        <v>-1.0337835675255302</v>
      </c>
      <c r="AY891" s="7">
        <f t="shared" si="168"/>
        <v>5.0605912695330568</v>
      </c>
      <c r="BB891" s="7">
        <f t="shared" si="169"/>
        <v>-0.51366141450659919</v>
      </c>
      <c r="BC891" s="7">
        <f t="shared" si="170"/>
        <v>1.5567552253058845</v>
      </c>
      <c r="BF891" s="7">
        <f t="shared" si="171"/>
        <v>-1.6745502732590063</v>
      </c>
      <c r="BG891" s="7">
        <f t="shared" si="172"/>
        <v>5.4614316046208549</v>
      </c>
      <c r="BI891" s="10">
        <f t="shared" si="173"/>
        <v>-3.2219952552911355</v>
      </c>
      <c r="BJ891">
        <f t="shared" si="174"/>
        <v>12.078778099459797</v>
      </c>
    </row>
    <row r="892" spans="42:62" x14ac:dyDescent="0.25">
      <c r="AP892" s="1">
        <v>887</v>
      </c>
      <c r="AQ892" s="7">
        <f t="shared" si="163"/>
        <v>84034.004875764629</v>
      </c>
      <c r="AR892" s="7">
        <f t="shared" si="164"/>
        <v>-304684.50502918876</v>
      </c>
      <c r="AS892" s="7"/>
      <c r="AT892" s="7">
        <f t="shared" si="165"/>
        <v>711.38884889360429</v>
      </c>
      <c r="AU892" s="7">
        <f t="shared" si="166"/>
        <v>-932.08427119456928</v>
      </c>
      <c r="AV892" s="7"/>
      <c r="AX892" s="7">
        <f t="shared" si="167"/>
        <v>-1.0343969028363567</v>
      </c>
      <c r="AY892" s="7">
        <f t="shared" si="168"/>
        <v>5.0429874836379716</v>
      </c>
      <c r="BB892" s="7">
        <f t="shared" si="169"/>
        <v>-0.51283887033579978</v>
      </c>
      <c r="BC892" s="7">
        <f t="shared" si="170"/>
        <v>1.5512470779536867</v>
      </c>
      <c r="BF892" s="7">
        <f t="shared" si="171"/>
        <v>-1.6721231563569579</v>
      </c>
      <c r="BG892" s="7">
        <f t="shared" si="172"/>
        <v>5.4404850098904438</v>
      </c>
      <c r="BI892" s="10">
        <f t="shared" si="173"/>
        <v>-3.2193589295291147</v>
      </c>
      <c r="BJ892">
        <f t="shared" si="174"/>
        <v>12.034719571482103</v>
      </c>
    </row>
    <row r="893" spans="42:62" x14ac:dyDescent="0.25">
      <c r="AP893" s="1">
        <v>888</v>
      </c>
      <c r="AQ893" s="7">
        <f t="shared" si="163"/>
        <v>84389.296880345239</v>
      </c>
      <c r="AR893" s="7">
        <f t="shared" si="164"/>
        <v>-305149.04282483959</v>
      </c>
      <c r="AS893" s="7"/>
      <c r="AT893" s="7">
        <f t="shared" si="165"/>
        <v>709.77916942883974</v>
      </c>
      <c r="AU893" s="7">
        <f t="shared" si="166"/>
        <v>-926.06691140882822</v>
      </c>
      <c r="AV893" s="7"/>
      <c r="AX893" s="7">
        <f t="shared" si="167"/>
        <v>-1.0350024824335287</v>
      </c>
      <c r="AY893" s="7">
        <f t="shared" si="168"/>
        <v>5.0255640476321446</v>
      </c>
      <c r="BB893" s="7">
        <f t="shared" si="169"/>
        <v>-0.51202589944499</v>
      </c>
      <c r="BC893" s="7">
        <f t="shared" si="170"/>
        <v>1.5457951814406596</v>
      </c>
      <c r="BF893" s="7">
        <f t="shared" si="171"/>
        <v>-1.6697234798915035</v>
      </c>
      <c r="BG893" s="7">
        <f t="shared" si="172"/>
        <v>5.4197614969628898</v>
      </c>
      <c r="BI893" s="10">
        <f t="shared" si="173"/>
        <v>-3.2167518617700224</v>
      </c>
      <c r="BJ893">
        <f t="shared" si="174"/>
        <v>11.991120726035694</v>
      </c>
    </row>
    <row r="894" spans="42:62" x14ac:dyDescent="0.25">
      <c r="AP894" s="1">
        <v>889</v>
      </c>
      <c r="AQ894" s="7">
        <f t="shared" si="163"/>
        <v>84743.784371076938</v>
      </c>
      <c r="AR894" s="7">
        <f t="shared" si="164"/>
        <v>-305610.57739045325</v>
      </c>
      <c r="AS894" s="7"/>
      <c r="AT894" s="7">
        <f t="shared" si="165"/>
        <v>708.17079349795472</v>
      </c>
      <c r="AU894" s="7">
        <f t="shared" si="166"/>
        <v>-920.07135104581039</v>
      </c>
      <c r="AV894" s="7"/>
      <c r="AX894" s="7">
        <f t="shared" si="167"/>
        <v>-1.0356006099370649</v>
      </c>
      <c r="AY894" s="7">
        <f t="shared" si="168"/>
        <v>5.0083186837647364</v>
      </c>
      <c r="BB894" s="7">
        <f t="shared" si="169"/>
        <v>-0.51122241330100304</v>
      </c>
      <c r="BC894" s="7">
        <f t="shared" si="170"/>
        <v>1.5403988122604395</v>
      </c>
      <c r="BF894" s="7">
        <f t="shared" si="171"/>
        <v>-1.6673510468604673</v>
      </c>
      <c r="BG894" s="7">
        <f t="shared" si="172"/>
        <v>5.3992580526486034</v>
      </c>
      <c r="BI894" s="10">
        <f t="shared" si="173"/>
        <v>-3.2141740700985353</v>
      </c>
      <c r="BJ894">
        <f t="shared" si="174"/>
        <v>11.94797554867378</v>
      </c>
    </row>
    <row r="895" spans="42:62" x14ac:dyDescent="0.25">
      <c r="AP895" s="1">
        <v>890</v>
      </c>
      <c r="AQ895" s="7">
        <f t="shared" si="163"/>
        <v>85097.467996067164</v>
      </c>
      <c r="AR895" s="7">
        <f t="shared" si="164"/>
        <v>-306069.11956903263</v>
      </c>
      <c r="AS895" s="7"/>
      <c r="AT895" s="7">
        <f t="shared" si="165"/>
        <v>706.56370646290543</v>
      </c>
      <c r="AU895" s="7">
        <f t="shared" si="166"/>
        <v>-914.09736327147345</v>
      </c>
      <c r="AV895" s="7"/>
      <c r="AX895" s="7">
        <f t="shared" si="167"/>
        <v>-1.0361915819326368</v>
      </c>
      <c r="AY895" s="7">
        <f t="shared" si="168"/>
        <v>4.991249153824076</v>
      </c>
      <c r="BB895" s="7">
        <f t="shared" si="169"/>
        <v>-0.51042832478187994</v>
      </c>
      <c r="BC895" s="7">
        <f t="shared" si="170"/>
        <v>1.5350572596377121</v>
      </c>
      <c r="BF895" s="7">
        <f t="shared" si="171"/>
        <v>-1.6650056626163625</v>
      </c>
      <c r="BG895" s="7">
        <f t="shared" si="172"/>
        <v>5.3789717188983941</v>
      </c>
      <c r="BI895" s="10">
        <f t="shared" si="173"/>
        <v>-3.2116255693308791</v>
      </c>
      <c r="BJ895">
        <f t="shared" si="174"/>
        <v>11.905278132360182</v>
      </c>
    </row>
    <row r="896" spans="42:62" x14ac:dyDescent="0.25">
      <c r="AP896" s="1">
        <v>891</v>
      </c>
      <c r="AQ896" s="7">
        <f t="shared" si="163"/>
        <v>85450.348396102447</v>
      </c>
      <c r="AR896" s="7">
        <f t="shared" si="164"/>
        <v>-306524.68009090185</v>
      </c>
      <c r="AS896" s="7"/>
      <c r="AT896" s="7">
        <f t="shared" si="165"/>
        <v>704.95789367824</v>
      </c>
      <c r="AU896" s="7">
        <f t="shared" si="166"/>
        <v>-908.14472420529341</v>
      </c>
      <c r="AV896" s="7"/>
      <c r="AX896" s="7">
        <f t="shared" si="167"/>
        <v>-1.0367756881637178</v>
      </c>
      <c r="AY896" s="7">
        <f t="shared" si="168"/>
        <v>4.9743532583093772</v>
      </c>
      <c r="BB896" s="7">
        <f t="shared" si="169"/>
        <v>-0.50964354815171931</v>
      </c>
      <c r="BC896" s="7">
        <f t="shared" si="170"/>
        <v>1.5297698252562384</v>
      </c>
      <c r="BF896" s="7">
        <f t="shared" si="171"/>
        <v>-1.6626871348491854</v>
      </c>
      <c r="BG896" s="7">
        <f t="shared" si="172"/>
        <v>5.3588995915802746</v>
      </c>
      <c r="BI896" s="10">
        <f t="shared" si="173"/>
        <v>-3.2091063711646228</v>
      </c>
      <c r="BJ896">
        <f t="shared" si="174"/>
        <v>11.86302267514589</v>
      </c>
    </row>
    <row r="897" spans="42:62" x14ac:dyDescent="0.25">
      <c r="AP897" s="1">
        <v>892</v>
      </c>
      <c r="AQ897" s="7">
        <f t="shared" si="163"/>
        <v>85802.426204645177</v>
      </c>
      <c r="AR897" s="7">
        <f t="shared" si="164"/>
        <v>-306977.26957517007</v>
      </c>
      <c r="AS897" s="7"/>
      <c r="AT897" s="7">
        <f t="shared" si="165"/>
        <v>703.35334049265771</v>
      </c>
      <c r="AU897" s="7">
        <f t="shared" si="166"/>
        <v>-902.21321286772047</v>
      </c>
      <c r="AV897" s="7"/>
      <c r="AX897" s="7">
        <f t="shared" si="167"/>
        <v>-1.0373532117180546</v>
      </c>
      <c r="AY897" s="7">
        <f t="shared" si="168"/>
        <v>4.9576288356233595</v>
      </c>
      <c r="BB897" s="7">
        <f t="shared" si="169"/>
        <v>-0.50886799903613833</v>
      </c>
      <c r="BC897" s="7">
        <f t="shared" si="170"/>
        <v>1.5245358229939501</v>
      </c>
      <c r="BF897" s="7">
        <f t="shared" si="171"/>
        <v>-1.660395273568982</v>
      </c>
      <c r="BG897" s="7">
        <f t="shared" si="172"/>
        <v>5.3390388192885982</v>
      </c>
      <c r="BI897" s="10">
        <f t="shared" si="173"/>
        <v>-3.2066164843231748</v>
      </c>
      <c r="BJ897">
        <f t="shared" si="174"/>
        <v>11.821203477905907</v>
      </c>
    </row>
    <row r="898" spans="42:62" x14ac:dyDescent="0.25">
      <c r="AP898" s="1">
        <v>893</v>
      </c>
      <c r="AQ898" s="7">
        <f t="shared" si="163"/>
        <v>86153.702047830971</v>
      </c>
      <c r="AR898" s="7">
        <f t="shared" si="164"/>
        <v>-307426.89853116922</v>
      </c>
      <c r="AS898" s="7"/>
      <c r="AT898" s="7">
        <f t="shared" si="165"/>
        <v>701.75003225049613</v>
      </c>
      <c r="AU898" s="7">
        <f t="shared" si="166"/>
        <v>-896.30261112876747</v>
      </c>
      <c r="AV898" s="7"/>
      <c r="AX898" s="7">
        <f t="shared" si="167"/>
        <v>-1.037924429208652</v>
      </c>
      <c r="AY898" s="7">
        <f t="shared" si="168"/>
        <v>4.9410737612851747</v>
      </c>
      <c r="BB898" s="7">
        <f t="shared" si="169"/>
        <v>-0.50810159439818448</v>
      </c>
      <c r="BC898" s="7">
        <f t="shared" si="170"/>
        <v>1.5193545786644878</v>
      </c>
      <c r="BF898" s="7">
        <f t="shared" si="171"/>
        <v>-1.658129891088189</v>
      </c>
      <c r="BG898" s="7">
        <f t="shared" si="172"/>
        <v>5.3193866021844416</v>
      </c>
      <c r="BI898" s="10">
        <f t="shared" si="173"/>
        <v>-3.2041559146950256</v>
      </c>
      <c r="BJ898">
        <f t="shared" si="174"/>
        <v>11.779814942134104</v>
      </c>
    </row>
    <row r="899" spans="42:62" x14ac:dyDescent="0.25">
      <c r="AP899" s="1">
        <v>894</v>
      </c>
      <c r="AQ899" s="7">
        <f t="shared" si="163"/>
        <v>86504.176544466885</v>
      </c>
      <c r="AR899" s="7">
        <f t="shared" si="164"/>
        <v>-307873.57735986583</v>
      </c>
      <c r="AS899" s="7"/>
      <c r="AT899" s="7">
        <f t="shared" si="165"/>
        <v>700.14795429314859</v>
      </c>
      <c r="AU899" s="7">
        <f t="shared" si="166"/>
        <v>-890.41270365770038</v>
      </c>
      <c r="AV899" s="7"/>
      <c r="AX899" s="7">
        <f t="shared" si="167"/>
        <v>-1.0384896109493149</v>
      </c>
      <c r="AY899" s="7">
        <f t="shared" si="168"/>
        <v>4.9246859471623603</v>
      </c>
      <c r="BB899" s="7">
        <f t="shared" si="169"/>
        <v>-0.50734425251489079</v>
      </c>
      <c r="BC899" s="7">
        <f t="shared" si="170"/>
        <v>1.5142254297655879</v>
      </c>
      <c r="BF899" s="7">
        <f t="shared" si="171"/>
        <v>-1.6558908020037899</v>
      </c>
      <c r="BG899" s="7">
        <f t="shared" si="172"/>
        <v>5.2999401908663186</v>
      </c>
      <c r="BI899" s="10">
        <f t="shared" si="173"/>
        <v>-3.2017246654679954</v>
      </c>
      <c r="BJ899">
        <f t="shared" si="174"/>
        <v>11.738851567794267</v>
      </c>
    </row>
    <row r="900" spans="42:62" x14ac:dyDescent="0.25">
      <c r="AP900" s="1">
        <v>895</v>
      </c>
      <c r="AQ900" s="7">
        <f t="shared" si="163"/>
        <v>86853.850306030276</v>
      </c>
      <c r="AR900" s="7">
        <f t="shared" si="164"/>
        <v>-308317.31635524874</v>
      </c>
      <c r="AS900" s="7"/>
      <c r="AT900" s="7">
        <f t="shared" si="165"/>
        <v>698.5470919604146</v>
      </c>
      <c r="AU900" s="7">
        <f t="shared" si="166"/>
        <v>-884.54327787380328</v>
      </c>
      <c r="AV900" s="7"/>
      <c r="AX900" s="7">
        <f t="shared" si="167"/>
        <v>-1.0390490211251064</v>
      </c>
      <c r="AY900" s="7">
        <f t="shared" si="168"/>
        <v>4.9084633407222009</v>
      </c>
      <c r="BB900" s="7">
        <f t="shared" si="169"/>
        <v>-0.50659589295427798</v>
      </c>
      <c r="BC900" s="7">
        <f t="shared" si="170"/>
        <v>1.5091477252335945</v>
      </c>
      <c r="BF900" s="7">
        <f t="shared" si="171"/>
        <v>-1.6536778231792777</v>
      </c>
      <c r="BG900" s="7">
        <f t="shared" si="172"/>
        <v>5.2806968852702649</v>
      </c>
      <c r="BI900" s="10">
        <f t="shared" si="173"/>
        <v>-3.1993227372586621</v>
      </c>
      <c r="BJ900">
        <f t="shared" si="174"/>
        <v>11.698307951226059</v>
      </c>
    </row>
    <row r="901" spans="42:62" x14ac:dyDescent="0.25">
      <c r="AP901" s="1">
        <v>896</v>
      </c>
      <c r="AQ901" s="7">
        <f t="shared" si="163"/>
        <v>87202.723936668321</v>
      </c>
      <c r="AR901" s="7">
        <f t="shared" si="164"/>
        <v>-308758.12570569169</v>
      </c>
      <c r="AS901" s="7"/>
      <c r="AT901" s="7">
        <f t="shared" si="165"/>
        <v>696.94743059178529</v>
      </c>
      <c r="AU901" s="7">
        <f t="shared" si="166"/>
        <v>-878.69412389819024</v>
      </c>
      <c r="AV901" s="7"/>
      <c r="AX901" s="7">
        <f t="shared" si="167"/>
        <v>-1.03960291795775</v>
      </c>
      <c r="AY901" s="7">
        <f t="shared" si="168"/>
        <v>4.8924039243011954</v>
      </c>
      <c r="BB901" s="7">
        <f t="shared" si="169"/>
        <v>-0.50585643655289358</v>
      </c>
      <c r="BC901" s="7">
        <f t="shared" si="170"/>
        <v>1.5041208252042084</v>
      </c>
      <c r="BF901" s="7">
        <f t="shared" si="171"/>
        <v>-1.6514907737264897</v>
      </c>
      <c r="BG901" s="7">
        <f t="shared" si="172"/>
        <v>5.261654033598461</v>
      </c>
      <c r="BI901" s="10">
        <f t="shared" si="173"/>
        <v>-3.1969501282371331</v>
      </c>
      <c r="BJ901">
        <f t="shared" si="174"/>
        <v>11.658178783103864</v>
      </c>
    </row>
    <row r="902" spans="42:62" x14ac:dyDescent="0.25">
      <c r="AP902" s="1">
        <v>897</v>
      </c>
      <c r="AQ902" s="7">
        <f t="shared" ref="AQ902:AQ965" si="175">AQ901+(AT901*$R$7)+((1/2)*(BI901)*$R$7^2)</f>
        <v>87550.798033198196</v>
      </c>
      <c r="AR902" s="7">
        <f t="shared" ref="AR902:AR965" si="176">AR901+(AU901*$R$7)+((1/2)*(BJ901)*$R$7^2)</f>
        <v>-309196.0154952929</v>
      </c>
      <c r="AS902" s="7"/>
      <c r="AT902" s="7">
        <f t="shared" ref="AT902:AT965" si="177">AT901+(BI901)*$R$7</f>
        <v>695.3489555276667</v>
      </c>
      <c r="AU902" s="7">
        <f t="shared" ref="AU902:AU965" si="178">AU901+(BJ901)*$R$7</f>
        <v>-872.86503450663827</v>
      </c>
      <c r="AV902" s="7"/>
      <c r="AX902" s="7">
        <f t="shared" ref="AX902:AX965" si="179">(($R$23-AQ902)/(($R$23-AQ902)^2+($S$23-AR902)^2+$R$28^2)^(3/2))*$R$27</f>
        <v>-1.0401515538661998</v>
      </c>
      <c r="AY902" s="7">
        <f t="shared" ref="AY902:AY965" si="180">(($S$23-AR902)/(($R$23-AQ902)^2+($S$23-AR902)^2+$R$28^2)^(3/2))*$R$27</f>
        <v>4.8765057143924757</v>
      </c>
      <c r="BB902" s="7">
        <f t="shared" ref="BB902:BB965" si="181">(($R$32-AQ902)/(($R$32-AQ902)^2+($S$32-AR902)^2+$R$37^2)^(3/2))*$R$36</f>
        <v>-0.5051258053938269</v>
      </c>
      <c r="BC902" s="7">
        <f t="shared" ref="BC902:BC965" si="182">(($S$32-AR902)/(($R$32-AQ902)^2+($S$32-AR902)^2+$R$37^2)^(3/2))*$R$36</f>
        <v>1.4991441007791628</v>
      </c>
      <c r="BF902" s="7">
        <f t="shared" ref="BF902:BF965" si="183">(($R$41-AQ902)/(($R$41-AQ902)^2+($S$41-AR902)^2+$R$46^2)^(3/2))*$R$45</f>
        <v>-1.6493294749872986</v>
      </c>
      <c r="BG902" s="7">
        <f t="shared" ref="BG902:BG965" si="184">(($S$41-AR902)/(($R$41-AQ902)^2+($S$41-AR902)^2+$R$46^2)^(3/2))*$R$45</f>
        <v>5.2428090312755034</v>
      </c>
      <c r="BI902" s="10">
        <f t="shared" ref="BI902:BI965" si="185">BF902+BB902+AX902</f>
        <v>-3.1946068342473253</v>
      </c>
      <c r="BJ902">
        <f t="shared" ref="BJ902:BJ965" si="186">BG902+BC902+AY902</f>
        <v>11.618458846447142</v>
      </c>
    </row>
    <row r="903" spans="42:62" x14ac:dyDescent="0.25">
      <c r="AP903" s="1">
        <v>898</v>
      </c>
      <c r="AQ903" s="7">
        <f t="shared" si="175"/>
        <v>87898.073185107758</v>
      </c>
      <c r="AR903" s="7">
        <f t="shared" si="176"/>
        <v>-309630.99570519041</v>
      </c>
      <c r="AS903" s="7"/>
      <c r="AT903" s="7">
        <f t="shared" si="177"/>
        <v>693.75165211054309</v>
      </c>
      <c r="AU903" s="7">
        <f t="shared" si="178"/>
        <v>-867.05580508341473</v>
      </c>
      <c r="AV903" s="7"/>
      <c r="AX903" s="7">
        <f t="shared" si="179"/>
        <v>-1.0406951756225935</v>
      </c>
      <c r="AY903" s="7">
        <f t="shared" si="180"/>
        <v>4.8607667609508658</v>
      </c>
      <c r="BB903" s="7">
        <f t="shared" si="181"/>
        <v>-0.50440392278522717</v>
      </c>
      <c r="BC903" s="7">
        <f t="shared" si="182"/>
        <v>1.4942169337987621</v>
      </c>
      <c r="BF903" s="7">
        <f t="shared" si="183"/>
        <v>-1.6471937505152663</v>
      </c>
      <c r="BG903" s="7">
        <f t="shared" si="184"/>
        <v>5.2241593199317213</v>
      </c>
      <c r="BI903" s="10">
        <f t="shared" si="185"/>
        <v>-3.1922928489230866</v>
      </c>
      <c r="BJ903">
        <f t="shared" si="186"/>
        <v>11.57914301468135</v>
      </c>
    </row>
    <row r="904" spans="42:62" x14ac:dyDescent="0.25">
      <c r="AP904" s="1">
        <v>899</v>
      </c>
      <c r="AQ904" s="7">
        <f t="shared" si="175"/>
        <v>88244.54997455691</v>
      </c>
      <c r="AR904" s="7">
        <f t="shared" si="176"/>
        <v>-310063.07621485525</v>
      </c>
      <c r="AS904" s="7"/>
      <c r="AT904" s="7">
        <f t="shared" si="177"/>
        <v>692.1555056860816</v>
      </c>
      <c r="AU904" s="7">
        <f t="shared" si="178"/>
        <v>-861.266233576074</v>
      </c>
      <c r="AV904" s="7"/>
      <c r="AX904" s="7">
        <f t="shared" si="179"/>
        <v>-1.0412340245035612</v>
      </c>
      <c r="AY904" s="7">
        <f t="shared" si="180"/>
        <v>4.8451851467143001</v>
      </c>
      <c r="BB904" s="7">
        <f t="shared" si="181"/>
        <v>-0.50369071323928361</v>
      </c>
      <c r="BC904" s="7">
        <f t="shared" si="182"/>
        <v>1.4893387166200331</v>
      </c>
      <c r="BF904" s="7">
        <f t="shared" si="183"/>
        <v>-1.6450834260571243</v>
      </c>
      <c r="BG904" s="7">
        <f t="shared" si="184"/>
        <v>5.2057023864122636</v>
      </c>
      <c r="BI904" s="10">
        <f t="shared" si="185"/>
        <v>-3.1900081637999689</v>
      </c>
      <c r="BJ904">
        <f t="shared" si="186"/>
        <v>11.540226249746597</v>
      </c>
    </row>
    <row r="905" spans="42:62" x14ac:dyDescent="0.25">
      <c r="AP905" s="1">
        <v>900</v>
      </c>
      <c r="AQ905" s="7">
        <f t="shared" si="175"/>
        <v>88590.228976379483</v>
      </c>
      <c r="AR905" s="7">
        <f t="shared" si="176"/>
        <v>-310492.26680336206</v>
      </c>
      <c r="AS905" s="7"/>
      <c r="AT905" s="7">
        <f t="shared" si="177"/>
        <v>690.56050160418158</v>
      </c>
      <c r="AU905" s="7">
        <f t="shared" si="178"/>
        <v>-855.49612045120068</v>
      </c>
      <c r="AV905" s="7"/>
      <c r="AX905" s="7">
        <f t="shared" si="179"/>
        <v>-1.0417683364372747</v>
      </c>
      <c r="AY905" s="7">
        <f t="shared" si="180"/>
        <v>4.8297589865422061</v>
      </c>
      <c r="BB905" s="7">
        <f t="shared" si="181"/>
        <v>-0.50298610245164255</v>
      </c>
      <c r="BC905" s="7">
        <f t="shared" si="182"/>
        <v>1.4845088519002927</v>
      </c>
      <c r="BF905" s="7">
        <f t="shared" si="183"/>
        <v>-1.6429983295342379</v>
      </c>
      <c r="BG905" s="7">
        <f t="shared" si="184"/>
        <v>5.1874357618116207</v>
      </c>
      <c r="BI905" s="10">
        <f t="shared" si="185"/>
        <v>-3.187752768423155</v>
      </c>
      <c r="BJ905">
        <f t="shared" si="186"/>
        <v>11.501703600254119</v>
      </c>
    </row>
    <row r="906" spans="42:62" x14ac:dyDescent="0.25">
      <c r="AP906" s="1">
        <v>901</v>
      </c>
      <c r="AQ906" s="7">
        <f t="shared" si="175"/>
        <v>88935.110758085531</v>
      </c>
      <c r="AR906" s="7">
        <f t="shared" si="176"/>
        <v>-310918.57715063763</v>
      </c>
      <c r="AS906" s="7"/>
      <c r="AT906" s="7">
        <f t="shared" si="177"/>
        <v>688.96662521996996</v>
      </c>
      <c r="AU906" s="7">
        <f t="shared" si="178"/>
        <v>-849.74526865107362</v>
      </c>
      <c r="AV906" s="7"/>
      <c r="AX906" s="7">
        <f t="shared" si="179"/>
        <v>-1.0422983421462255</v>
      </c>
      <c r="AY906" s="7">
        <f t="shared" si="180"/>
        <v>4.8144864267697134</v>
      </c>
      <c r="BB906" s="7">
        <f t="shared" si="181"/>
        <v>-0.50229001728131373</v>
      </c>
      <c r="BC906" s="7">
        <f t="shared" si="182"/>
        <v>1.4797267523861584</v>
      </c>
      <c r="BF906" s="7">
        <f t="shared" si="183"/>
        <v>-1.6409382910240435</v>
      </c>
      <c r="BG906" s="7">
        <f t="shared" si="184"/>
        <v>5.1693570205327823</v>
      </c>
      <c r="BI906" s="10">
        <f t="shared" si="185"/>
        <v>-3.1855266504515827</v>
      </c>
      <c r="BJ906">
        <f t="shared" si="186"/>
        <v>11.463570199688654</v>
      </c>
    </row>
    <row r="907" spans="42:62" x14ac:dyDescent="0.25">
      <c r="AP907" s="1">
        <v>902</v>
      </c>
      <c r="AQ907" s="7">
        <f t="shared" si="175"/>
        <v>89279.195879864215</v>
      </c>
      <c r="AR907" s="7">
        <f t="shared" si="176"/>
        <v>-311342.01683868817</v>
      </c>
      <c r="AS907" s="7"/>
      <c r="AT907" s="7">
        <f t="shared" si="177"/>
        <v>687.37386189474421</v>
      </c>
      <c r="AU907" s="7">
        <f t="shared" si="178"/>
        <v>-844.01348355122934</v>
      </c>
      <c r="AV907" s="7"/>
      <c r="AX907" s="7">
        <f t="shared" si="179"/>
        <v>-1.0428242672858226</v>
      </c>
      <c r="AY907" s="7">
        <f t="shared" si="180"/>
        <v>4.799365644576973</v>
      </c>
      <c r="BB907" s="7">
        <f t="shared" si="181"/>
        <v>-0.50160238573097871</v>
      </c>
      <c r="BC907" s="7">
        <f t="shared" si="182"/>
        <v>1.4749918407076277</v>
      </c>
      <c r="BF907" s="7">
        <f t="shared" si="183"/>
        <v>-1.6389031427413985</v>
      </c>
      <c r="BG907" s="7">
        <f t="shared" si="184"/>
        <v>5.1514637793700055</v>
      </c>
      <c r="BI907" s="10">
        <f t="shared" si="185"/>
        <v>-3.1833297957581994</v>
      </c>
      <c r="BJ907">
        <f t="shared" si="186"/>
        <v>11.425821264654607</v>
      </c>
    </row>
    <row r="908" spans="42:62" x14ac:dyDescent="0.25">
      <c r="AP908" s="1">
        <v>903</v>
      </c>
      <c r="AQ908" s="7">
        <f t="shared" si="175"/>
        <v>89622.48489458712</v>
      </c>
      <c r="AR908" s="7">
        <f t="shared" si="176"/>
        <v>-311762.59535280569</v>
      </c>
      <c r="AS908" s="7"/>
      <c r="AT908" s="7">
        <f t="shared" si="177"/>
        <v>685.78219699686508</v>
      </c>
      <c r="AU908" s="7">
        <f t="shared" si="178"/>
        <v>-838.30057291890205</v>
      </c>
      <c r="AV908" s="7"/>
      <c r="AX908" s="7">
        <f t="shared" si="179"/>
        <v>-1.043346332579187</v>
      </c>
      <c r="AY908" s="7">
        <f t="shared" si="180"/>
        <v>4.784394847374374</v>
      </c>
      <c r="BB908" s="7">
        <f t="shared" si="181"/>
        <v>-0.5009231369277195</v>
      </c>
      <c r="BC908" s="7">
        <f t="shared" si="182"/>
        <v>1.4703035491771677</v>
      </c>
      <c r="BF908" s="7">
        <f t="shared" si="183"/>
        <v>-1.6368927190199378</v>
      </c>
      <c r="BG908" s="7">
        <f t="shared" si="184"/>
        <v>5.1337536966148312</v>
      </c>
      <c r="BI908" s="10">
        <f t="shared" si="185"/>
        <v>-3.1811621885268444</v>
      </c>
      <c r="BJ908">
        <f t="shared" si="186"/>
        <v>11.388452093166373</v>
      </c>
    </row>
    <row r="909" spans="42:62" x14ac:dyDescent="0.25">
      <c r="AP909" s="1">
        <v>904</v>
      </c>
      <c r="AQ909" s="7">
        <f t="shared" si="175"/>
        <v>89964.978347811993</v>
      </c>
      <c r="AR909" s="7">
        <f t="shared" si="176"/>
        <v>-312180.32208275347</v>
      </c>
      <c r="AS909" s="7"/>
      <c r="AT909" s="7">
        <f t="shared" si="177"/>
        <v>684.19161590260171</v>
      </c>
      <c r="AU909" s="7">
        <f t="shared" si="178"/>
        <v>-832.60634687231891</v>
      </c>
      <c r="AV909" s="7"/>
      <c r="AX909" s="7">
        <f t="shared" si="179"/>
        <v>-1.0438647539479184</v>
      </c>
      <c r="AY909" s="7">
        <f t="shared" si="180"/>
        <v>4.7695722722015335</v>
      </c>
      <c r="BB909" s="7">
        <f t="shared" si="181"/>
        <v>-0.50025220110419766</v>
      </c>
      <c r="BC909" s="7">
        <f t="shared" si="182"/>
        <v>1.4656613195937906</v>
      </c>
      <c r="BF909" s="7">
        <f t="shared" si="183"/>
        <v>-1.6349068562935243</v>
      </c>
      <c r="BG909" s="7">
        <f t="shared" si="184"/>
        <v>5.1162244711848119</v>
      </c>
      <c r="BI909" s="10">
        <f t="shared" si="185"/>
        <v>-3.1790238113456404</v>
      </c>
      <c r="BJ909">
        <f t="shared" si="186"/>
        <v>11.351458062980136</v>
      </c>
    </row>
    <row r="910" spans="42:62" x14ac:dyDescent="0.25">
      <c r="AP910" s="1">
        <v>905</v>
      </c>
      <c r="AQ910" s="7">
        <f t="shared" si="175"/>
        <v>90306.676777786881</v>
      </c>
      <c r="AR910" s="7">
        <f t="shared" si="176"/>
        <v>-312595.20632393175</v>
      </c>
      <c r="AS910" s="7"/>
      <c r="AT910" s="7">
        <f t="shared" si="177"/>
        <v>682.60210399692892</v>
      </c>
      <c r="AU910" s="7">
        <f t="shared" si="178"/>
        <v>-826.93061784082886</v>
      </c>
      <c r="AV910" s="7"/>
      <c r="AX910" s="7">
        <f t="shared" si="179"/>
        <v>-1.044379742639294</v>
      </c>
      <c r="AY910" s="7">
        <f t="shared" si="180"/>
        <v>4.7548961851412752</v>
      </c>
      <c r="BB910" s="7">
        <f t="shared" si="181"/>
        <v>-0.49958950958021059</v>
      </c>
      <c r="BC910" s="7">
        <f t="shared" si="182"/>
        <v>1.4610646030517958</v>
      </c>
      <c r="BF910" s="7">
        <f t="shared" si="183"/>
        <v>-1.6329453930774673</v>
      </c>
      <c r="BG910" s="7">
        <f t="shared" si="184"/>
        <v>5.0988738417733259</v>
      </c>
      <c r="BI910" s="10">
        <f t="shared" si="185"/>
        <v>-3.1769146452969723</v>
      </c>
      <c r="BJ910">
        <f t="shared" si="186"/>
        <v>11.314834629966397</v>
      </c>
    </row>
    <row r="911" spans="42:62" x14ac:dyDescent="0.25">
      <c r="AP911" s="1">
        <v>906</v>
      </c>
      <c r="AQ911" s="7">
        <f t="shared" si="175"/>
        <v>90647.580715454693</v>
      </c>
      <c r="AR911" s="7">
        <f t="shared" si="176"/>
        <v>-313007.25727852341</v>
      </c>
      <c r="AS911" s="7"/>
      <c r="AT911" s="7">
        <f t="shared" si="177"/>
        <v>681.01364667428038</v>
      </c>
      <c r="AU911" s="7">
        <f t="shared" si="178"/>
        <v>-821.27320052584571</v>
      </c>
      <c r="AV911" s="7"/>
      <c r="AX911" s="7">
        <f t="shared" si="179"/>
        <v>-1.0448915053497805</v>
      </c>
      <c r="AY911" s="7">
        <f t="shared" si="180"/>
        <v>4.7403648807470748</v>
      </c>
      <c r="BB911" s="7">
        <f t="shared" si="181"/>
        <v>-0.49893499474463854</v>
      </c>
      <c r="BC911" s="7">
        <f t="shared" si="182"/>
        <v>1.4565128597541062</v>
      </c>
      <c r="BF911" s="7">
        <f t="shared" si="183"/>
        <v>-1.6310081699500778</v>
      </c>
      <c r="BG911" s="7">
        <f t="shared" si="184"/>
        <v>5.0816995860215242</v>
      </c>
      <c r="BI911" s="10">
        <f t="shared" si="185"/>
        <v>-3.1748346700444969</v>
      </c>
      <c r="BJ911">
        <f t="shared" si="186"/>
        <v>11.278577326522704</v>
      </c>
    </row>
    <row r="912" spans="42:62" x14ac:dyDescent="0.25">
      <c r="AP912" s="1">
        <v>907</v>
      </c>
      <c r="AQ912" s="7">
        <f t="shared" si="175"/>
        <v>90987.690684458081</v>
      </c>
      <c r="AR912" s="7">
        <f t="shared" si="176"/>
        <v>-313416.48405662057</v>
      </c>
      <c r="AS912" s="7"/>
      <c r="AT912" s="7">
        <f t="shared" si="177"/>
        <v>679.42622933925816</v>
      </c>
      <c r="AU912" s="7">
        <f t="shared" si="178"/>
        <v>-815.63391186258434</v>
      </c>
      <c r="AV912" s="7"/>
      <c r="AX912" s="7">
        <f t="shared" si="179"/>
        <v>-1.0454002443451273</v>
      </c>
      <c r="AY912" s="7">
        <f t="shared" si="180"/>
        <v>4.7259766814843154</v>
      </c>
      <c r="BB912" s="7">
        <f t="shared" si="181"/>
        <v>-0.49828859003779841</v>
      </c>
      <c r="BC912" s="7">
        <f t="shared" si="182"/>
        <v>1.4520055588301608</v>
      </c>
      <c r="BF912" s="7">
        <f t="shared" si="183"/>
        <v>-1.6290950295340334</v>
      </c>
      <c r="BG912" s="7">
        <f t="shared" si="184"/>
        <v>5.0646995197101656</v>
      </c>
      <c r="BI912" s="10">
        <f t="shared" si="185"/>
        <v>-3.1727838639169592</v>
      </c>
      <c r="BJ912">
        <f t="shared" si="186"/>
        <v>11.242681760024642</v>
      </c>
    </row>
    <row r="913" spans="42:62" x14ac:dyDescent="0.25">
      <c r="AP913" s="1">
        <v>908</v>
      </c>
      <c r="AQ913" s="7">
        <f t="shared" si="175"/>
        <v>91327.007201144719</v>
      </c>
      <c r="AR913" s="7">
        <f t="shared" si="176"/>
        <v>-313822.89567733189</v>
      </c>
      <c r="AS913" s="7"/>
      <c r="AT913" s="7">
        <f t="shared" si="177"/>
        <v>677.83983740729968</v>
      </c>
      <c r="AU913" s="7">
        <f t="shared" si="178"/>
        <v>-810.01257098257202</v>
      </c>
      <c r="AV913" s="7"/>
      <c r="AX913" s="7">
        <f t="shared" si="179"/>
        <v>-1.0459061575770066</v>
      </c>
      <c r="AY913" s="7">
        <f t="shared" si="180"/>
        <v>4.7117299371843249</v>
      </c>
      <c r="BB913" s="7">
        <f t="shared" si="181"/>
        <v>-0.4976502299341522</v>
      </c>
      <c r="BC913" s="7">
        <f t="shared" si="182"/>
        <v>1.4475421781580973</v>
      </c>
      <c r="BF913" s="7">
        <f t="shared" si="183"/>
        <v>-1.6272058164778438</v>
      </c>
      <c r="BG913" s="7">
        <f t="shared" si="184"/>
        <v>5.0478714959715676</v>
      </c>
      <c r="BI913" s="10">
        <f t="shared" si="185"/>
        <v>-3.1707622039890024</v>
      </c>
      <c r="BJ913">
        <f t="shared" si="186"/>
        <v>11.20714361131399</v>
      </c>
    </row>
    <row r="914" spans="42:62" x14ac:dyDescent="0.25">
      <c r="AP914" s="1">
        <v>909</v>
      </c>
      <c r="AQ914" s="7">
        <f t="shared" si="175"/>
        <v>91665.530774572864</v>
      </c>
      <c r="AR914" s="7">
        <f t="shared" si="176"/>
        <v>-314226.50106987177</v>
      </c>
      <c r="AS914" s="7"/>
      <c r="AT914" s="7">
        <f t="shared" si="177"/>
        <v>676.25445630530521</v>
      </c>
      <c r="AU914" s="7">
        <f t="shared" si="178"/>
        <v>-804.40899917691502</v>
      </c>
      <c r="AV914" s="7"/>
      <c r="AX914" s="7">
        <f t="shared" si="179"/>
        <v>-1.0464094387964826</v>
      </c>
      <c r="AY914" s="7">
        <f t="shared" si="180"/>
        <v>4.6976230245116328</v>
      </c>
      <c r="BB914" s="7">
        <f t="shared" si="181"/>
        <v>-0.49701984992541309</v>
      </c>
      <c r="BC914" s="7">
        <f t="shared" si="182"/>
        <v>1.4431222041912679</v>
      </c>
      <c r="BF914" s="7">
        <f t="shared" si="183"/>
        <v>-1.6253403774374369</v>
      </c>
      <c r="BG914" s="7">
        <f t="shared" si="184"/>
        <v>5.0312134045212149</v>
      </c>
      <c r="BI914" s="10">
        <f t="shared" si="185"/>
        <v>-3.1687696661593323</v>
      </c>
      <c r="BJ914">
        <f t="shared" si="186"/>
        <v>11.171958633224115</v>
      </c>
    </row>
    <row r="915" spans="42:62" x14ac:dyDescent="0.25">
      <c r="AP915" s="1">
        <v>910</v>
      </c>
      <c r="AQ915" s="7">
        <f t="shared" si="175"/>
        <v>92003.261906517248</v>
      </c>
      <c r="AR915" s="7">
        <f t="shared" si="176"/>
        <v>-314627.30907463108</v>
      </c>
      <c r="AS915" s="7"/>
      <c r="AT915" s="7">
        <f t="shared" si="177"/>
        <v>674.67007147222557</v>
      </c>
      <c r="AU915" s="7">
        <f t="shared" si="178"/>
        <v>-798.82301986030291</v>
      </c>
      <c r="AV915" s="7"/>
      <c r="AX915" s="7">
        <f t="shared" si="179"/>
        <v>-1.0469102776642092</v>
      </c>
      <c r="AY915" s="7">
        <f t="shared" si="180"/>
        <v>4.6836543464431859</v>
      </c>
      <c r="BB915" s="7">
        <f t="shared" si="181"/>
        <v>-0.49639738650395004</v>
      </c>
      <c r="BC915" s="7">
        <f t="shared" si="182"/>
        <v>1.4387451317887039</v>
      </c>
      <c r="BF915" s="7">
        <f t="shared" si="183"/>
        <v>-1.6234985610577612</v>
      </c>
      <c r="BG915" s="7">
        <f t="shared" si="184"/>
        <v>5.0147231709080335</v>
      </c>
      <c r="BI915" s="10">
        <f t="shared" si="185"/>
        <v>-3.1668062252259208</v>
      </c>
      <c r="BJ915">
        <f t="shared" si="186"/>
        <v>11.137122649139924</v>
      </c>
    </row>
    <row r="916" spans="42:62" x14ac:dyDescent="0.25">
      <c r="AP916" s="1">
        <v>911</v>
      </c>
      <c r="AQ916" s="7">
        <f t="shared" si="175"/>
        <v>92340.201091475217</v>
      </c>
      <c r="AR916" s="7">
        <f t="shared" si="176"/>
        <v>-315025.32844423008</v>
      </c>
      <c r="AS916" s="7"/>
      <c r="AT916" s="7">
        <f t="shared" si="177"/>
        <v>673.08666835961264</v>
      </c>
      <c r="AU916" s="7">
        <f t="shared" si="178"/>
        <v>-793.25445853573297</v>
      </c>
      <c r="AV916" s="7"/>
      <c r="AX916" s="7">
        <f t="shared" si="179"/>
        <v>-1.0474088598576565</v>
      </c>
      <c r="AY916" s="7">
        <f t="shared" si="180"/>
        <v>4.6698223317600984</v>
      </c>
      <c r="BB916" s="7">
        <f t="shared" si="181"/>
        <v>-0.49578277714661484</v>
      </c>
      <c r="BC916" s="7">
        <f t="shared" si="182"/>
        <v>1.4344104640498017</v>
      </c>
      <c r="BF916" s="7">
        <f t="shared" si="183"/>
        <v>-1.6216802179544842</v>
      </c>
      <c r="BG916" s="7">
        <f t="shared" si="184"/>
        <v>4.9983987557830822</v>
      </c>
      <c r="BI916" s="10">
        <f t="shared" si="185"/>
        <v>-3.1648718549587556</v>
      </c>
      <c r="BJ916">
        <f t="shared" si="186"/>
        <v>11.102631551592982</v>
      </c>
    </row>
    <row r="917" spans="42:62" x14ac:dyDescent="0.25">
      <c r="AP917" s="1">
        <v>912</v>
      </c>
      <c r="AQ917" s="7">
        <f t="shared" si="175"/>
        <v>92676.348816673155</v>
      </c>
      <c r="AR917" s="7">
        <f t="shared" si="176"/>
        <v>-315420.56784455397</v>
      </c>
      <c r="AS917" s="7"/>
      <c r="AT917" s="7">
        <f t="shared" si="177"/>
        <v>671.50423243213322</v>
      </c>
      <c r="AU917" s="7">
        <f t="shared" si="178"/>
        <v>-787.70314275993644</v>
      </c>
      <c r="AV917" s="7"/>
      <c r="AX917" s="7">
        <f t="shared" si="179"/>
        <v>-1.0479053671753373</v>
      </c>
      <c r="AY917" s="7">
        <f t="shared" si="180"/>
        <v>4.6561254345510479</v>
      </c>
      <c r="BB917" s="7">
        <f t="shared" si="181"/>
        <v>-0.49517596029886846</v>
      </c>
      <c r="BC917" s="7">
        <f t="shared" si="182"/>
        <v>1.4301177121527877</v>
      </c>
      <c r="BF917" s="7">
        <f t="shared" si="183"/>
        <v>-1.6198852006957256</v>
      </c>
      <c r="BG917" s="7">
        <f t="shared" si="184"/>
        <v>4.9822381541858931</v>
      </c>
      <c r="BI917" s="10">
        <f t="shared" si="185"/>
        <v>-3.1629665281699313</v>
      </c>
      <c r="BJ917">
        <f t="shared" si="186"/>
        <v>11.068481300889729</v>
      </c>
    </row>
    <row r="918" spans="42:62" x14ac:dyDescent="0.25">
      <c r="AP918" s="1">
        <v>913</v>
      </c>
      <c r="AQ918" s="7">
        <f t="shared" si="175"/>
        <v>93011.705562073199</v>
      </c>
      <c r="AR918" s="7">
        <f t="shared" si="176"/>
        <v>-315813.03585577133</v>
      </c>
      <c r="AS918" s="7"/>
      <c r="AT918" s="7">
        <f t="shared" si="177"/>
        <v>669.92274916804831</v>
      </c>
      <c r="AU918" s="7">
        <f t="shared" si="178"/>
        <v>-782.16890210949157</v>
      </c>
      <c r="AV918" s="7"/>
      <c r="AX918" s="7">
        <f t="shared" si="179"/>
        <v>-1.0483999776381072</v>
      </c>
      <c r="AY918" s="7">
        <f t="shared" si="180"/>
        <v>4.6425621337269076</v>
      </c>
      <c r="BB918" s="7">
        <f t="shared" si="181"/>
        <v>-0.49457687535923972</v>
      </c>
      <c r="BC918" s="7">
        <f t="shared" si="182"/>
        <v>1.4258663951969757</v>
      </c>
      <c r="BF918" s="7">
        <f t="shared" si="183"/>
        <v>-1.6181133637839749</v>
      </c>
      <c r="BG918" s="7">
        <f t="shared" si="184"/>
        <v>4.966239394848416</v>
      </c>
      <c r="BI918" s="10">
        <f t="shared" si="185"/>
        <v>-3.161090216781322</v>
      </c>
      <c r="BJ918">
        <f t="shared" si="186"/>
        <v>11.0346679237723</v>
      </c>
    </row>
    <row r="919" spans="42:62" x14ac:dyDescent="0.25">
      <c r="AP919" s="1">
        <v>914</v>
      </c>
      <c r="AQ919" s="7">
        <f t="shared" si="175"/>
        <v>93346.271800380113</v>
      </c>
      <c r="AR919" s="7">
        <f t="shared" si="176"/>
        <v>-316202.74097333563</v>
      </c>
      <c r="AS919" s="7"/>
      <c r="AT919" s="7">
        <f t="shared" si="177"/>
        <v>668.34220405965766</v>
      </c>
      <c r="AU919" s="7">
        <f t="shared" si="178"/>
        <v>-776.65156814760542</v>
      </c>
      <c r="AV919" s="7"/>
      <c r="AX919" s="7">
        <f t="shared" si="179"/>
        <v>-1.0488928655877594</v>
      </c>
      <c r="AY919" s="7">
        <f t="shared" si="180"/>
        <v>4.6291309325469303</v>
      </c>
      <c r="BB919" s="7">
        <f t="shared" si="181"/>
        <v>-0.49398546266412147</v>
      </c>
      <c r="BC919" s="7">
        <f t="shared" si="182"/>
        <v>1.4216560400487508</v>
      </c>
      <c r="BF919" s="7">
        <f t="shared" si="183"/>
        <v>-1.6163645636380264</v>
      </c>
      <c r="BG919" s="7">
        <f t="shared" si="184"/>
        <v>4.9504005395155346</v>
      </c>
      <c r="BI919" s="10">
        <f t="shared" si="185"/>
        <v>-3.1592428918899076</v>
      </c>
      <c r="BJ919">
        <f t="shared" si="186"/>
        <v>11.001187512111215</v>
      </c>
    </row>
    <row r="920" spans="42:62" x14ac:dyDescent="0.25">
      <c r="AP920" s="1">
        <v>915</v>
      </c>
      <c r="AQ920" s="7">
        <f t="shared" si="175"/>
        <v>93680.047997048445</v>
      </c>
      <c r="AR920" s="7">
        <f t="shared" si="176"/>
        <v>-316589.6916089704</v>
      </c>
      <c r="AS920" s="7"/>
      <c r="AT920" s="7">
        <f t="shared" si="177"/>
        <v>666.76258261371265</v>
      </c>
      <c r="AU920" s="7">
        <f t="shared" si="178"/>
        <v>-771.15097439154977</v>
      </c>
      <c r="AV920" s="7"/>
      <c r="AX920" s="7">
        <f t="shared" si="179"/>
        <v>-1.0493842017828579</v>
      </c>
      <c r="AY920" s="7">
        <f t="shared" si="180"/>
        <v>4.6158303581555193</v>
      </c>
      <c r="BB920" s="7">
        <f t="shared" si="181"/>
        <v>-0.49340166347287545</v>
      </c>
      <c r="BC920" s="7">
        <f t="shared" si="182"/>
        <v>1.4174861811911197</v>
      </c>
      <c r="BF920" s="7">
        <f t="shared" si="183"/>
        <v>-1.6146386585750905</v>
      </c>
      <c r="BG920" s="7">
        <f t="shared" si="184"/>
        <v>4.93471968228216</v>
      </c>
      <c r="BI920" s="10">
        <f t="shared" si="185"/>
        <v>-3.1574245238308238</v>
      </c>
      <c r="BJ920">
        <f t="shared" si="186"/>
        <v>10.9680362216288</v>
      </c>
    </row>
    <row r="921" spans="42:62" x14ac:dyDescent="0.25">
      <c r="AP921" s="1">
        <v>916</v>
      </c>
      <c r="AQ921" s="7">
        <f t="shared" si="175"/>
        <v>94013.034610289818</v>
      </c>
      <c r="AR921" s="7">
        <f t="shared" si="176"/>
        <v>-316973.89609163842</v>
      </c>
      <c r="AS921" s="7"/>
      <c r="AT921" s="7">
        <f t="shared" si="177"/>
        <v>665.18387035179728</v>
      </c>
      <c r="AU921" s="7">
        <f t="shared" si="178"/>
        <v>-765.66695628073535</v>
      </c>
      <c r="AV921" s="7"/>
      <c r="AX921" s="7">
        <f t="shared" si="179"/>
        <v>-1.049874153491964</v>
      </c>
      <c r="AY921" s="7">
        <f t="shared" si="180"/>
        <v>4.6026589611296362</v>
      </c>
      <c r="BB921" s="7">
        <f t="shared" si="181"/>
        <v>-0.49282541995327206</v>
      </c>
      <c r="BC921" s="7">
        <f t="shared" si="182"/>
        <v>1.4133563605768289</v>
      </c>
      <c r="BF921" s="7">
        <f t="shared" si="183"/>
        <v>-1.6129355087929744</v>
      </c>
      <c r="BG921" s="7">
        <f t="shared" si="184"/>
        <v>4.9191949489461058</v>
      </c>
      <c r="BI921" s="10">
        <f t="shared" si="185"/>
        <v>-3.1556350822382107</v>
      </c>
      <c r="BJ921">
        <f t="shared" si="186"/>
        <v>10.935210270652572</v>
      </c>
    </row>
    <row r="922" spans="42:62" x14ac:dyDescent="0.25">
      <c r="AP922" s="1">
        <v>917</v>
      </c>
      <c r="AQ922" s="7">
        <f t="shared" si="175"/>
        <v>94345.232091080426</v>
      </c>
      <c r="AR922" s="7">
        <f t="shared" si="176"/>
        <v>-317355.36266849493</v>
      </c>
      <c r="AS922" s="7"/>
      <c r="AT922" s="7">
        <f t="shared" si="177"/>
        <v>663.60605281067819</v>
      </c>
      <c r="AU922" s="7">
        <f t="shared" si="178"/>
        <v>-760.19935114540908</v>
      </c>
      <c r="AV922" s="7"/>
      <c r="AX922" s="7">
        <f t="shared" si="179"/>
        <v>-1.0503628845843827</v>
      </c>
      <c r="AY922" s="7">
        <f t="shared" si="180"/>
        <v>4.5896153150367738</v>
      </c>
      <c r="BB922" s="7">
        <f t="shared" si="181"/>
        <v>-0.49225667516718696</v>
      </c>
      <c r="BC922" s="7">
        <f t="shared" si="182"/>
        <v>1.4092661274847511</v>
      </c>
      <c r="BF922" s="7">
        <f t="shared" si="183"/>
        <v>-1.6112549763523585</v>
      </c>
      <c r="BG922" s="7">
        <f t="shared" si="184"/>
        <v>4.9038244963763544</v>
      </c>
      <c r="BI922" s="10">
        <f t="shared" si="185"/>
        <v>-3.1538745361039284</v>
      </c>
      <c r="BJ922">
        <f t="shared" si="186"/>
        <v>10.90270593889788</v>
      </c>
    </row>
    <row r="923" spans="42:62" x14ac:dyDescent="0.25">
      <c r="AP923" s="1">
        <v>918</v>
      </c>
      <c r="AQ923" s="7">
        <f t="shared" si="175"/>
        <v>94676.640883168744</v>
      </c>
      <c r="AR923" s="7">
        <f t="shared" si="176"/>
        <v>-317734.09950582526</v>
      </c>
      <c r="AS923" s="7"/>
      <c r="AT923" s="7">
        <f t="shared" si="177"/>
        <v>662.02911554262619</v>
      </c>
      <c r="AU923" s="7">
        <f t="shared" si="178"/>
        <v>-754.74799817596011</v>
      </c>
      <c r="AV923" s="7"/>
      <c r="AX923" s="7">
        <f t="shared" si="179"/>
        <v>-1.0508505556183256</v>
      </c>
      <c r="AY923" s="7">
        <f t="shared" si="180"/>
        <v>4.5766980160024024</v>
      </c>
      <c r="BB923" s="7">
        <f t="shared" si="181"/>
        <v>-0.49169537305664973</v>
      </c>
      <c r="BC923" s="7">
        <f t="shared" si="182"/>
        <v>1.4052150383797424</v>
      </c>
      <c r="BF923" s="7">
        <f t="shared" si="183"/>
        <v>-1.6095969251593476</v>
      </c>
      <c r="BG923" s="7">
        <f t="shared" si="184"/>
        <v>4.8886065118968283</v>
      </c>
      <c r="BI923" s="10">
        <f t="shared" si="185"/>
        <v>-3.1521428538343228</v>
      </c>
      <c r="BJ923">
        <f t="shared" si="186"/>
        <v>10.870519566278972</v>
      </c>
    </row>
    <row r="924" spans="42:62" x14ac:dyDescent="0.25">
      <c r="AP924" s="1">
        <v>919</v>
      </c>
      <c r="AQ924" s="7">
        <f t="shared" si="175"/>
        <v>95007.261423083328</v>
      </c>
      <c r="AR924" s="7">
        <f t="shared" si="176"/>
        <v>-318110.11468996742</v>
      </c>
      <c r="AS924" s="7"/>
      <c r="AT924" s="7">
        <f t="shared" si="177"/>
        <v>660.45304411570908</v>
      </c>
      <c r="AU924" s="7">
        <f t="shared" si="178"/>
        <v>-749.31273839282062</v>
      </c>
      <c r="AV924" s="7"/>
      <c r="AX924" s="7">
        <f t="shared" si="179"/>
        <v>-1.0513373239268662</v>
      </c>
      <c r="AY924" s="7">
        <f t="shared" si="180"/>
        <v>4.5639056822879844</v>
      </c>
      <c r="BB924" s="7">
        <f t="shared" si="181"/>
        <v>-0.49114145843012702</v>
      </c>
      <c r="BC924" s="7">
        <f t="shared" si="182"/>
        <v>1.4012026567755695</v>
      </c>
      <c r="BF924" s="7">
        <f t="shared" si="183"/>
        <v>-1.6079612209478964</v>
      </c>
      <c r="BG924" s="7">
        <f t="shared" si="184"/>
        <v>4.8735392126840047</v>
      </c>
      <c r="BI924" s="10">
        <f t="shared" si="185"/>
        <v>-3.1504400033048894</v>
      </c>
      <c r="BJ924">
        <f t="shared" si="186"/>
        <v>10.83864755174756</v>
      </c>
    </row>
    <row r="925" spans="42:62" x14ac:dyDescent="0.25">
      <c r="AP925" s="1">
        <v>920</v>
      </c>
      <c r="AQ925" s="7">
        <f t="shared" si="175"/>
        <v>95337.094140140776</v>
      </c>
      <c r="AR925" s="7">
        <f t="shared" si="176"/>
        <v>-318483.41622821987</v>
      </c>
      <c r="AS925" s="7"/>
      <c r="AT925" s="7">
        <f t="shared" si="177"/>
        <v>658.87782411405658</v>
      </c>
      <c r="AU925" s="7">
        <f t="shared" si="178"/>
        <v>-743.89341461694687</v>
      </c>
      <c r="AV925" s="7"/>
      <c r="AX925" s="7">
        <f t="shared" si="179"/>
        <v>-1.051823343701384</v>
      </c>
      <c r="AY925" s="7">
        <f t="shared" si="180"/>
        <v>4.5512369538776252</v>
      </c>
      <c r="BB925" s="7">
        <f t="shared" si="181"/>
        <v>-0.49059487694912995</v>
      </c>
      <c r="BC925" s="7">
        <f t="shared" si="182"/>
        <v>1.397228553101092</v>
      </c>
      <c r="BF925" s="7">
        <f t="shared" si="183"/>
        <v>-1.6063477312626169</v>
      </c>
      <c r="BG925" s="7">
        <f t="shared" si="184"/>
        <v>4.8586208451795363</v>
      </c>
      <c r="BI925" s="10">
        <f t="shared" si="185"/>
        <v>-3.148765951913131</v>
      </c>
      <c r="BJ925">
        <f t="shared" si="186"/>
        <v>10.807086352158255</v>
      </c>
    </row>
    <row r="926" spans="42:62" x14ac:dyDescent="0.25">
      <c r="AP926" s="1">
        <v>921</v>
      </c>
      <c r="AQ926" s="7">
        <f t="shared" si="175"/>
        <v>95666.13945645382</v>
      </c>
      <c r="AR926" s="7">
        <f t="shared" si="176"/>
        <v>-318854.0120497343</v>
      </c>
      <c r="AS926" s="7"/>
      <c r="AT926" s="7">
        <f t="shared" si="177"/>
        <v>657.30344113809997</v>
      </c>
      <c r="AU926" s="7">
        <f t="shared" si="178"/>
        <v>-738.48987144086777</v>
      </c>
      <c r="AV926" s="7"/>
      <c r="AX926" s="7">
        <f t="shared" si="179"/>
        <v>-1.0523087660729367</v>
      </c>
      <c r="AY926" s="7">
        <f t="shared" si="180"/>
        <v>4.53869049207474</v>
      </c>
      <c r="BB926" s="7">
        <f t="shared" si="181"/>
        <v>-0.49005557511507675</v>
      </c>
      <c r="BC926" s="7">
        <f t="shared" si="182"/>
        <v>1.3932923045694414</v>
      </c>
      <c r="BF926" s="7">
        <f t="shared" si="183"/>
        <v>-1.6047563254416131</v>
      </c>
      <c r="BG926" s="7">
        <f t="shared" si="184"/>
        <v>4.8438496845163552</v>
      </c>
      <c r="BI926" s="10">
        <f t="shared" si="185"/>
        <v>-3.1471206666296263</v>
      </c>
      <c r="BJ926">
        <f t="shared" si="186"/>
        <v>10.775832481160537</v>
      </c>
    </row>
    <row r="927" spans="42:62" x14ac:dyDescent="0.25">
      <c r="AP927" s="1">
        <v>922</v>
      </c>
      <c r="AQ927" s="7">
        <f t="shared" si="175"/>
        <v>95994.397786939546</v>
      </c>
      <c r="AR927" s="7">
        <f t="shared" si="176"/>
        <v>-319221.91000639461</v>
      </c>
      <c r="AS927" s="7"/>
      <c r="AT927" s="7">
        <f t="shared" si="177"/>
        <v>655.72988080478513</v>
      </c>
      <c r="AU927" s="7">
        <f t="shared" si="178"/>
        <v>-733.10195520028753</v>
      </c>
      <c r="AV927" s="7"/>
      <c r="AX927" s="7">
        <f t="shared" si="179"/>
        <v>-1.0527937391913622</v>
      </c>
      <c r="AY927" s="7">
        <f t="shared" si="180"/>
        <v>4.5262649791073288</v>
      </c>
      <c r="BB927" s="7">
        <f t="shared" si="181"/>
        <v>-0.48952350025642966</v>
      </c>
      <c r="BC927" s="7">
        <f t="shared" si="182"/>
        <v>1.3893934950501867</v>
      </c>
      <c r="BF927" s="7">
        <f t="shared" si="183"/>
        <v>-1.6031868745994482</v>
      </c>
      <c r="BG927" s="7">
        <f t="shared" si="184"/>
        <v>4.82922403395823</v>
      </c>
      <c r="BI927" s="10">
        <f t="shared" si="185"/>
        <v>-3.14550411404724</v>
      </c>
      <c r="BJ927">
        <f t="shared" si="186"/>
        <v>10.744882508115746</v>
      </c>
    </row>
    <row r="928" spans="42:62" x14ac:dyDescent="0.25">
      <c r="AP928" s="1">
        <v>923</v>
      </c>
      <c r="AQ928" s="7">
        <f t="shared" si="175"/>
        <v>96321.869539327672</v>
      </c>
      <c r="AR928" s="7">
        <f t="shared" si="176"/>
        <v>-319587.11787368124</v>
      </c>
      <c r="AS928" s="7"/>
      <c r="AT928" s="7">
        <f t="shared" si="177"/>
        <v>654.15712874776148</v>
      </c>
      <c r="AU928" s="7">
        <f t="shared" si="178"/>
        <v>-727.72951394622964</v>
      </c>
      <c r="AV928" s="7"/>
      <c r="AX928" s="7">
        <f t="shared" si="179"/>
        <v>-1.0532784083023268</v>
      </c>
      <c r="AY928" s="7">
        <f t="shared" si="180"/>
        <v>4.5139591177423002</v>
      </c>
      <c r="BB928" s="7">
        <f t="shared" si="181"/>
        <v>-0.48899860051610095</v>
      </c>
      <c r="BC928" s="7">
        <f t="shared" si="182"/>
        <v>1.385531714944416</v>
      </c>
      <c r="BF928" s="7">
        <f t="shared" si="183"/>
        <v>-1.6016392516103175</v>
      </c>
      <c r="BG928" s="7">
        <f t="shared" si="184"/>
        <v>4.8147422243526004</v>
      </c>
      <c r="BI928" s="10">
        <f t="shared" si="185"/>
        <v>-3.1439162604287452</v>
      </c>
      <c r="BJ928">
        <f t="shared" si="186"/>
        <v>10.714233057039316</v>
      </c>
    </row>
    <row r="929" spans="42:62" x14ac:dyDescent="0.25">
      <c r="AP929" s="1">
        <v>924</v>
      </c>
      <c r="AQ929" s="7">
        <f t="shared" si="175"/>
        <v>96648.555114168994</v>
      </c>
      <c r="AR929" s="7">
        <f t="shared" si="176"/>
        <v>-319949.64335152222</v>
      </c>
      <c r="AS929" s="7"/>
      <c r="AT929" s="7">
        <f t="shared" si="177"/>
        <v>652.58517061754708</v>
      </c>
      <c r="AU929" s="7">
        <f t="shared" si="178"/>
        <v>-722.37239741770998</v>
      </c>
      <c r="AV929" s="7"/>
      <c r="AX929" s="7">
        <f t="shared" si="179"/>
        <v>-1.0537629158222717</v>
      </c>
      <c r="AY929" s="7">
        <f t="shared" si="180"/>
        <v>4.5017716309081139</v>
      </c>
      <c r="BB929" s="7">
        <f t="shared" si="181"/>
        <v>-0.48848082483910843</v>
      </c>
      <c r="BC929" s="7">
        <f t="shared" si="182"/>
        <v>1.3817065610626138</v>
      </c>
      <c r="BF929" s="7">
        <f t="shared" si="183"/>
        <v>-1.6001133310913338</v>
      </c>
      <c r="BG929" s="7">
        <f t="shared" si="184"/>
        <v>4.8004026135960443</v>
      </c>
      <c r="BI929" s="10">
        <f t="shared" si="185"/>
        <v>-3.1423570717527141</v>
      </c>
      <c r="BJ929">
        <f t="shared" si="186"/>
        <v>10.683880805566773</v>
      </c>
    </row>
    <row r="930" spans="42:62" x14ac:dyDescent="0.25">
      <c r="AP930" s="1">
        <v>925</v>
      </c>
      <c r="AQ930" s="7">
        <f t="shared" si="175"/>
        <v>96974.454904843806</v>
      </c>
      <c r="AR930" s="7">
        <f t="shared" si="176"/>
        <v>-320309.49406513036</v>
      </c>
      <c r="AS930" s="7"/>
      <c r="AT930" s="7">
        <f t="shared" si="177"/>
        <v>651.01399208167072</v>
      </c>
      <c r="AU930" s="7">
        <f t="shared" si="178"/>
        <v>-717.03045701492658</v>
      </c>
      <c r="AV930" s="7"/>
      <c r="AX930" s="7">
        <f t="shared" si="179"/>
        <v>-1.0542474014114345</v>
      </c>
      <c r="AY930" s="7">
        <f t="shared" si="180"/>
        <v>4.4897012613260285</v>
      </c>
      <c r="BB930" s="7">
        <f t="shared" si="181"/>
        <v>-0.48797012296048248</v>
      </c>
      <c r="BC930" s="7">
        <f t="shared" si="182"/>
        <v>1.377917636505285</v>
      </c>
      <c r="BF930" s="7">
        <f t="shared" si="183"/>
        <v>-1.5986089893859523</v>
      </c>
      <c r="BG930" s="7">
        <f t="shared" si="184"/>
        <v>4.7862035861121432</v>
      </c>
      <c r="BI930" s="10">
        <f t="shared" si="185"/>
        <v>-3.1408265137578693</v>
      </c>
      <c r="BJ930">
        <f t="shared" si="186"/>
        <v>10.653822483943458</v>
      </c>
    </row>
    <row r="931" spans="42:62" x14ac:dyDescent="0.25">
      <c r="AP931" s="1">
        <v>926</v>
      </c>
      <c r="AQ931" s="7">
        <f t="shared" si="175"/>
        <v>97299.569297570415</v>
      </c>
      <c r="AR931" s="7">
        <f t="shared" si="176"/>
        <v>-320666.67756582733</v>
      </c>
      <c r="AS931" s="7"/>
      <c r="AT931" s="7">
        <f t="shared" si="177"/>
        <v>649.44357882479176</v>
      </c>
      <c r="AU931" s="7">
        <f t="shared" si="178"/>
        <v>-711.70354577295484</v>
      </c>
      <c r="AV931" s="7"/>
      <c r="AX931" s="7">
        <f t="shared" si="179"/>
        <v>-1.0547320020449211</v>
      </c>
      <c r="AY931" s="7">
        <f t="shared" si="180"/>
        <v>4.4777467711493992</v>
      </c>
      <c r="BB931" s="7">
        <f t="shared" si="181"/>
        <v>-0.48746644539343209</v>
      </c>
      <c r="BC931" s="7">
        <f t="shared" si="182"/>
        <v>1.3741645505462963</v>
      </c>
      <c r="BF931" s="7">
        <f t="shared" si="183"/>
        <v>-1.5971261045476046</v>
      </c>
      <c r="BG931" s="7">
        <f t="shared" si="184"/>
        <v>4.7721435523415519</v>
      </c>
      <c r="BI931" s="10">
        <f t="shared" si="185"/>
        <v>-3.1393245519859576</v>
      </c>
      <c r="BJ931">
        <f t="shared" si="186"/>
        <v>10.624054874037247</v>
      </c>
    </row>
    <row r="932" spans="42:62" x14ac:dyDescent="0.25">
      <c r="AP932" s="1">
        <v>927</v>
      </c>
      <c r="AQ932" s="7">
        <f t="shared" si="175"/>
        <v>97623.898671413801</v>
      </c>
      <c r="AR932" s="7">
        <f t="shared" si="176"/>
        <v>-321021.20133185457</v>
      </c>
      <c r="AS932" s="7"/>
      <c r="AT932" s="7">
        <f t="shared" si="177"/>
        <v>647.87391654879877</v>
      </c>
      <c r="AU932" s="7">
        <f t="shared" si="178"/>
        <v>-706.39151833593621</v>
      </c>
      <c r="AV932" s="7"/>
      <c r="AX932" s="7">
        <f t="shared" si="179"/>
        <v>-1.0552168520819132</v>
      </c>
      <c r="AY932" s="7">
        <f t="shared" si="180"/>
        <v>4.4659069416108998</v>
      </c>
      <c r="BB932" s="7">
        <f t="shared" si="181"/>
        <v>-0.48696974341774135</v>
      </c>
      <c r="BC932" s="7">
        <f t="shared" si="182"/>
        <v>1.3704469185187926</v>
      </c>
      <c r="BF932" s="7">
        <f t="shared" si="183"/>
        <v>-1.5956645563234924</v>
      </c>
      <c r="BG932" s="7">
        <f t="shared" si="184"/>
        <v>4.7582209482438547</v>
      </c>
      <c r="BI932" s="10">
        <f t="shared" si="185"/>
        <v>-3.1378511518231469</v>
      </c>
      <c r="BJ932">
        <f t="shared" si="186"/>
        <v>10.594574808373547</v>
      </c>
    </row>
    <row r="933" spans="42:62" x14ac:dyDescent="0.25">
      <c r="AP933" s="1">
        <v>928</v>
      </c>
      <c r="AQ933" s="7">
        <f t="shared" si="175"/>
        <v>97947.443398294214</v>
      </c>
      <c r="AR933" s="7">
        <f t="shared" si="176"/>
        <v>-321373.0727691715</v>
      </c>
      <c r="AS933" s="7"/>
      <c r="AT933" s="7">
        <f t="shared" si="177"/>
        <v>646.30499097288725</v>
      </c>
      <c r="AU933" s="7">
        <f t="shared" si="178"/>
        <v>-701.09423093174939</v>
      </c>
      <c r="AV933" s="7"/>
      <c r="AX933" s="7">
        <f t="shared" si="179"/>
        <v>-1.0557020833330657</v>
      </c>
      <c r="AY933" s="7">
        <f t="shared" si="180"/>
        <v>4.4541805726775019</v>
      </c>
      <c r="BB933" s="7">
        <f t="shared" si="181"/>
        <v>-0.48647996906839452</v>
      </c>
      <c r="BC933" s="7">
        <f t="shared" si="182"/>
        <v>1.3667643617036367</v>
      </c>
      <c r="BF933" s="7">
        <f t="shared" si="183"/>
        <v>-1.5942242261384487</v>
      </c>
      <c r="BG933" s="7">
        <f t="shared" si="184"/>
        <v>4.7444342348105764</v>
      </c>
      <c r="BI933" s="10">
        <f t="shared" si="185"/>
        <v>-3.1364062785399094</v>
      </c>
      <c r="BJ933">
        <f t="shared" si="186"/>
        <v>10.565379169191715</v>
      </c>
    </row>
    <row r="934" spans="42:62" x14ac:dyDescent="0.25">
      <c r="AP934" s="1">
        <v>929</v>
      </c>
      <c r="AQ934" s="7">
        <f t="shared" si="175"/>
        <v>98270.203842995834</v>
      </c>
      <c r="AR934" s="7">
        <f t="shared" si="176"/>
        <v>-321722.2992122412</v>
      </c>
      <c r="AS934" s="7"/>
      <c r="AT934" s="7">
        <f t="shared" si="177"/>
        <v>644.73678783361731</v>
      </c>
      <c r="AU934" s="7">
        <f t="shared" si="178"/>
        <v>-695.81154134715348</v>
      </c>
      <c r="AV934" s="7"/>
      <c r="AX934" s="7">
        <f t="shared" si="179"/>
        <v>-1.0561878251261609</v>
      </c>
      <c r="AY934" s="7">
        <f t="shared" si="180"/>
        <v>4.4425664827130475</v>
      </c>
      <c r="BB934" s="7">
        <f t="shared" si="181"/>
        <v>-0.48599707512444995</v>
      </c>
      <c r="BC934" s="7">
        <f t="shared" si="182"/>
        <v>1.3631165072203801</v>
      </c>
      <c r="BF934" s="7">
        <f t="shared" si="183"/>
        <v>-1.5928049970791103</v>
      </c>
      <c r="BG934" s="7">
        <f t="shared" si="184"/>
        <v>4.730781897589786</v>
      </c>
      <c r="BI934" s="10">
        <f t="shared" si="185"/>
        <v>-3.1349898973297208</v>
      </c>
      <c r="BJ934">
        <f t="shared" si="186"/>
        <v>10.536464887523213</v>
      </c>
    </row>
    <row r="935" spans="42:62" x14ac:dyDescent="0.25">
      <c r="AP935" s="1">
        <v>930</v>
      </c>
      <c r="AQ935" s="7">
        <f t="shared" si="175"/>
        <v>98592.180363175474</v>
      </c>
      <c r="AR935" s="7">
        <f t="shared" si="176"/>
        <v>-322068.88792480383</v>
      </c>
      <c r="AS935" s="7"/>
      <c r="AT935" s="7">
        <f t="shared" si="177"/>
        <v>643.16929288495248</v>
      </c>
      <c r="AU935" s="7">
        <f t="shared" si="178"/>
        <v>-690.5433089033919</v>
      </c>
      <c r="AV935" s="7"/>
      <c r="AX935" s="7">
        <f t="shared" si="179"/>
        <v>-1.0566742043700441</v>
      </c>
      <c r="AY935" s="7">
        <f t="shared" si="180"/>
        <v>4.4310635081481227</v>
      </c>
      <c r="BB935" s="7">
        <f t="shared" si="181"/>
        <v>-0.48552101509811985</v>
      </c>
      <c r="BC935" s="7">
        <f t="shared" si="182"/>
        <v>1.3595029879205898</v>
      </c>
      <c r="BF935" s="7">
        <f t="shared" si="183"/>
        <v>-1.591406753878102</v>
      </c>
      <c r="BG935" s="7">
        <f t="shared" si="184"/>
        <v>4.7172624462211026</v>
      </c>
      <c r="BI935" s="10">
        <f t="shared" si="185"/>
        <v>-3.1336019733462659</v>
      </c>
      <c r="BJ935">
        <f t="shared" si="186"/>
        <v>10.507828942289816</v>
      </c>
    </row>
    <row r="936" spans="42:62" x14ac:dyDescent="0.25">
      <c r="AP936" s="1">
        <v>931</v>
      </c>
      <c r="AQ936" s="7">
        <f t="shared" si="175"/>
        <v>98913.373309371294</v>
      </c>
      <c r="AR936" s="7">
        <f t="shared" si="176"/>
        <v>-322412.84610063769</v>
      </c>
      <c r="AS936" s="7"/>
      <c r="AT936" s="7">
        <f t="shared" si="177"/>
        <v>641.60249189827937</v>
      </c>
      <c r="AU936" s="7">
        <f t="shared" si="178"/>
        <v>-685.28939443224704</v>
      </c>
      <c r="AV936" s="7"/>
      <c r="AX936" s="7">
        <f t="shared" si="179"/>
        <v>-1.0571613456169038</v>
      </c>
      <c r="AY936" s="7">
        <f t="shared" si="180"/>
        <v>4.4196705031570946</v>
      </c>
      <c r="BB936" s="7">
        <f t="shared" si="181"/>
        <v>-0.48505174322409039</v>
      </c>
      <c r="BC936" s="7">
        <f t="shared" si="182"/>
        <v>1.3559234422835842</v>
      </c>
      <c r="BF936" s="7">
        <f t="shared" si="183"/>
        <v>-1.5900293828985688</v>
      </c>
      <c r="BG936" s="7">
        <f t="shared" si="184"/>
        <v>4.7038744139817874</v>
      </c>
      <c r="BI936" s="10">
        <f t="shared" si="185"/>
        <v>-3.1322424717395627</v>
      </c>
      <c r="BJ936">
        <f t="shared" si="186"/>
        <v>10.479468359422466</v>
      </c>
    </row>
    <row r="937" spans="42:62" x14ac:dyDescent="0.25">
      <c r="AP937" s="1">
        <v>932</v>
      </c>
      <c r="AQ937" s="7">
        <f t="shared" si="175"/>
        <v>99233.783025011464</v>
      </c>
      <c r="AR937" s="7">
        <f t="shared" si="176"/>
        <v>-322754.18086430884</v>
      </c>
      <c r="AS937" s="7"/>
      <c r="AT937" s="7">
        <f t="shared" si="177"/>
        <v>640.03637066240958</v>
      </c>
      <c r="AU937" s="7">
        <f t="shared" si="178"/>
        <v>-680.04966025253577</v>
      </c>
      <c r="AV937" s="7"/>
      <c r="AX937" s="7">
        <f t="shared" si="179"/>
        <v>-1.0576493711229555</v>
      </c>
      <c r="AY937" s="7">
        <f t="shared" si="180"/>
        <v>4.4083863393421829</v>
      </c>
      <c r="BB937" s="7">
        <f t="shared" si="181"/>
        <v>-0.4845892144490343</v>
      </c>
      <c r="BC937" s="7">
        <f t="shared" si="182"/>
        <v>1.3523775143143981</v>
      </c>
      <c r="BF937" s="7">
        <f t="shared" si="183"/>
        <v>-1.5886727721186751</v>
      </c>
      <c r="BG937" s="7">
        <f t="shared" si="184"/>
        <v>4.6906163573425559</v>
      </c>
      <c r="BI937" s="10">
        <f t="shared" si="185"/>
        <v>-3.1309113576906649</v>
      </c>
      <c r="BJ937">
        <f t="shared" si="186"/>
        <v>10.451380210999137</v>
      </c>
    </row>
    <row r="938" spans="42:62" x14ac:dyDescent="0.25">
      <c r="AP938" s="1">
        <v>933</v>
      </c>
      <c r="AQ938" s="7">
        <f t="shared" si="175"/>
        <v>99553.409846422961</v>
      </c>
      <c r="AR938" s="7">
        <f t="shared" si="176"/>
        <v>-323092.89927190874</v>
      </c>
      <c r="AS938" s="7"/>
      <c r="AT938" s="7">
        <f t="shared" si="177"/>
        <v>638.47091498356428</v>
      </c>
      <c r="AU938" s="7">
        <f t="shared" si="178"/>
        <v>-674.82397014703622</v>
      </c>
      <c r="AV938" s="7"/>
      <c r="AX938" s="7">
        <f t="shared" si="179"/>
        <v>-1.0581384009075896</v>
      </c>
      <c r="AY938" s="7">
        <f t="shared" si="180"/>
        <v>4.3972099054244422</v>
      </c>
      <c r="BB938" s="7">
        <f t="shared" si="181"/>
        <v>-0.48413338442134984</v>
      </c>
      <c r="BC938" s="7">
        <f t="shared" si="182"/>
        <v>1.3488648534440264</v>
      </c>
      <c r="BF938" s="7">
        <f t="shared" si="183"/>
        <v>-1.5873368111164365</v>
      </c>
      <c r="BG938" s="7">
        <f t="shared" si="184"/>
        <v>4.6774868555338722</v>
      </c>
      <c r="BI938" s="10">
        <f t="shared" si="185"/>
        <v>-3.1296085964453759</v>
      </c>
      <c r="BJ938">
        <f t="shared" si="186"/>
        <v>10.423561614402342</v>
      </c>
    </row>
    <row r="939" spans="42:62" x14ac:dyDescent="0.25">
      <c r="AP939" s="1">
        <v>934</v>
      </c>
      <c r="AQ939" s="7">
        <f t="shared" si="175"/>
        <v>99872.25410284019</v>
      </c>
      <c r="AR939" s="7">
        <f t="shared" si="176"/>
        <v>-323429.00831178046</v>
      </c>
      <c r="AS939" s="7"/>
      <c r="AT939" s="7">
        <f t="shared" si="177"/>
        <v>636.90611068534156</v>
      </c>
      <c r="AU939" s="7">
        <f t="shared" si="178"/>
        <v>-669.61218933983503</v>
      </c>
      <c r="AV939" s="7"/>
      <c r="AX939" s="7">
        <f t="shared" si="179"/>
        <v>-1.0586285528109505</v>
      </c>
      <c r="AY939" s="7">
        <f t="shared" si="180"/>
        <v>4.386140106941161</v>
      </c>
      <c r="BB939" s="7">
        <f t="shared" si="181"/>
        <v>-0.48368420948111512</v>
      </c>
      <c r="BC939" s="7">
        <f t="shared" si="182"/>
        <v>1.3453851144318689</v>
      </c>
      <c r="BF939" s="7">
        <f t="shared" si="183"/>
        <v>-1.5860213910546668</v>
      </c>
      <c r="BG939" s="7">
        <f t="shared" si="184"/>
        <v>4.6644845101218566</v>
      </c>
      <c r="BI939" s="10">
        <f t="shared" si="185"/>
        <v>-3.1283341533467324</v>
      </c>
      <c r="BJ939">
        <f t="shared" si="186"/>
        <v>10.396009731494885</v>
      </c>
    </row>
    <row r="940" spans="42:62" x14ac:dyDescent="0.25">
      <c r="AP940" s="1">
        <v>935</v>
      </c>
      <c r="AQ940" s="7">
        <f t="shared" si="175"/>
        <v>100190.3161164137</v>
      </c>
      <c r="AR940" s="7">
        <f t="shared" si="176"/>
        <v>-323762.51490523393</v>
      </c>
      <c r="AS940" s="7"/>
      <c r="AT940" s="7">
        <f t="shared" si="177"/>
        <v>635.3419436086682</v>
      </c>
      <c r="AU940" s="7">
        <f t="shared" si="178"/>
        <v>-664.41418447408762</v>
      </c>
      <c r="AV940" s="7"/>
      <c r="AX940" s="7">
        <f t="shared" si="179"/>
        <v>-1.0591199425500901</v>
      </c>
      <c r="AY940" s="7">
        <f t="shared" si="180"/>
        <v>4.3751758659499407</v>
      </c>
      <c r="BB940" s="7">
        <f t="shared" si="181"/>
        <v>-0.48324164665019725</v>
      </c>
      <c r="BC940" s="7">
        <f t="shared" si="182"/>
        <v>1.3419379572701704</v>
      </c>
      <c r="BF940" s="7">
        <f t="shared" si="183"/>
        <v>-1.5847264046660685</v>
      </c>
      <c r="BG940" s="7">
        <f t="shared" si="184"/>
        <v>4.6516079445936249</v>
      </c>
      <c r="BI940" s="10">
        <f t="shared" si="185"/>
        <v>-3.1270879938663558</v>
      </c>
      <c r="BJ940">
        <f t="shared" si="186"/>
        <v>10.368721767813735</v>
      </c>
    </row>
    <row r="941" spans="42:62" x14ac:dyDescent="0.25">
      <c r="AP941" s="1">
        <v>936</v>
      </c>
      <c r="AQ941" s="7">
        <f t="shared" si="175"/>
        <v>100507.59620221879</v>
      </c>
      <c r="AR941" s="7">
        <f t="shared" si="176"/>
        <v>-324093.42590724997</v>
      </c>
      <c r="AS941" s="7"/>
      <c r="AT941" s="7">
        <f t="shared" si="177"/>
        <v>633.77839961173504</v>
      </c>
      <c r="AU941" s="7">
        <f t="shared" si="178"/>
        <v>-659.22982359018079</v>
      </c>
      <c r="AV941" s="7"/>
      <c r="AX941" s="7">
        <f t="shared" si="179"/>
        <v>-1.059612683773715</v>
      </c>
      <c r="AY941" s="7">
        <f t="shared" si="180"/>
        <v>4.3643161207391534</v>
      </c>
      <c r="BB941" s="7">
        <f t="shared" si="181"/>
        <v>-0.48280565362263073</v>
      </c>
      <c r="BC941" s="7">
        <f t="shared" si="182"/>
        <v>1.3385230470907348</v>
      </c>
      <c r="BF941" s="7">
        <f t="shared" si="183"/>
        <v>-1.5834517462385467</v>
      </c>
      <c r="BG941" s="7">
        <f t="shared" si="184"/>
        <v>4.6388558039520298</v>
      </c>
      <c r="BI941" s="10">
        <f t="shared" si="185"/>
        <v>-3.1258700836348923</v>
      </c>
      <c r="BJ941">
        <f t="shared" si="186"/>
        <v>10.341694971781919</v>
      </c>
    </row>
    <row r="942" spans="42:62" x14ac:dyDescent="0.25">
      <c r="AP942" s="1">
        <v>937</v>
      </c>
      <c r="AQ942" s="7">
        <f t="shared" si="175"/>
        <v>100824.0946682642</v>
      </c>
      <c r="AR942" s="7">
        <f t="shared" si="176"/>
        <v>-324421.74810717354</v>
      </c>
      <c r="AS942" s="7"/>
      <c r="AT942" s="7">
        <f t="shared" si="177"/>
        <v>632.21546456991757</v>
      </c>
      <c r="AU942" s="7">
        <f t="shared" si="178"/>
        <v>-654.05897610428985</v>
      </c>
      <c r="AV942" s="7"/>
      <c r="AX942" s="7">
        <f t="shared" si="179"/>
        <v>-1.0601068881154898</v>
      </c>
      <c r="AY942" s="7">
        <f t="shared" si="180"/>
        <v>4.3535598255443606</v>
      </c>
      <c r="BB942" s="7">
        <f t="shared" si="181"/>
        <v>-0.48237618875512378</v>
      </c>
      <c r="BC942" s="7">
        <f t="shared" si="182"/>
        <v>1.3351400540734706</v>
      </c>
      <c r="BF942" s="7">
        <f t="shared" si="183"/>
        <v>-1.5821973116006864</v>
      </c>
      <c r="BG942" s="7">
        <f t="shared" si="184"/>
        <v>4.6262267543194184</v>
      </c>
      <c r="BI942" s="10">
        <f t="shared" si="185"/>
        <v>-3.1246803884713001</v>
      </c>
      <c r="BJ942">
        <f t="shared" si="186"/>
        <v>10.314926633937249</v>
      </c>
    </row>
    <row r="943" spans="42:62" x14ac:dyDescent="0.25">
      <c r="AP943" s="1">
        <v>938</v>
      </c>
      <c r="AQ943" s="7">
        <f t="shared" si="175"/>
        <v>101139.81181550059</v>
      </c>
      <c r="AR943" s="7">
        <f t="shared" si="176"/>
        <v>-324747.4882293964</v>
      </c>
      <c r="AS943" s="7"/>
      <c r="AT943" s="7">
        <f t="shared" si="177"/>
        <v>630.65312437568195</v>
      </c>
      <c r="AU943" s="7">
        <f t="shared" si="178"/>
        <v>-648.90151278732128</v>
      </c>
      <c r="AV943" s="7"/>
      <c r="AX943" s="7">
        <f t="shared" si="179"/>
        <v>-1.060602665246037</v>
      </c>
      <c r="AY943" s="7">
        <f t="shared" si="180"/>
        <v>4.3429059502709073</v>
      </c>
      <c r="BB943" s="7">
        <f t="shared" si="181"/>
        <v>-0.48195321105779532</v>
      </c>
      <c r="BC943" s="7">
        <f t="shared" si="182"/>
        <v>1.3317886533570265</v>
      </c>
      <c r="BF943" s="7">
        <f t="shared" si="183"/>
        <v>-1.5809629981073652</v>
      </c>
      <c r="BG943" s="7">
        <f t="shared" si="184"/>
        <v>4.6137194825500618</v>
      </c>
      <c r="BI943" s="10">
        <f t="shared" si="185"/>
        <v>-3.1235188744111975</v>
      </c>
      <c r="BJ943">
        <f t="shared" si="186"/>
        <v>10.288414086177996</v>
      </c>
    </row>
    <row r="944" spans="42:62" x14ac:dyDescent="0.25">
      <c r="AP944" s="1">
        <v>939</v>
      </c>
      <c r="AQ944" s="7">
        <f t="shared" si="175"/>
        <v>101454.74793782913</v>
      </c>
      <c r="AR944" s="7">
        <f t="shared" si="176"/>
        <v>-325070.65293402929</v>
      </c>
      <c r="AS944" s="7"/>
      <c r="AT944" s="7">
        <f t="shared" si="177"/>
        <v>629.09136493847632</v>
      </c>
      <c r="AU944" s="7">
        <f t="shared" si="178"/>
        <v>-643.75730574423233</v>
      </c>
      <c r="AV944" s="7"/>
      <c r="AX944" s="7">
        <f t="shared" si="179"/>
        <v>-1.0611001229236376</v>
      </c>
      <c r="AY944" s="7">
        <f t="shared" si="180"/>
        <v>4.3323534802224062</v>
      </c>
      <c r="BB944" s="7">
        <f t="shared" si="181"/>
        <v>-0.48153668018506046</v>
      </c>
      <c r="BC944" s="7">
        <f t="shared" si="182"/>
        <v>1.3284685249512445</v>
      </c>
      <c r="BF944" s="7">
        <f t="shared" si="183"/>
        <v>-1.5797487046256176</v>
      </c>
      <c r="BG944" s="7">
        <f t="shared" si="184"/>
        <v>4.6013326958513963</v>
      </c>
      <c r="BI944" s="10">
        <f t="shared" si="185"/>
        <v>-3.1223855077343159</v>
      </c>
      <c r="BJ944">
        <f t="shared" si="186"/>
        <v>10.262154701025047</v>
      </c>
    </row>
    <row r="945" spans="42:62" x14ac:dyDescent="0.25">
      <c r="AP945" s="1">
        <v>940</v>
      </c>
      <c r="AQ945" s="7">
        <f t="shared" si="175"/>
        <v>101768.90332210991</v>
      </c>
      <c r="AR945" s="7">
        <f t="shared" si="176"/>
        <v>-325391.24881756376</v>
      </c>
      <c r="AS945" s="7"/>
      <c r="AT945" s="7">
        <f t="shared" si="177"/>
        <v>627.53017218460911</v>
      </c>
      <c r="AU945" s="7">
        <f t="shared" si="178"/>
        <v>-638.62622839371977</v>
      </c>
      <c r="AV945" s="7"/>
      <c r="AX945" s="7">
        <f t="shared" si="179"/>
        <v>-1.0615993670436588</v>
      </c>
      <c r="AY945" s="7">
        <f t="shared" si="180"/>
        <v>4.3219014158349598</v>
      </c>
      <c r="BB945" s="7">
        <f t="shared" si="181"/>
        <v>-0.48112655642675284</v>
      </c>
      <c r="BC945" s="7">
        <f t="shared" si="182"/>
        <v>1.3251793536516403</v>
      </c>
      <c r="BF945" s="7">
        <f t="shared" si="183"/>
        <v>-1.5785543315205857</v>
      </c>
      <c r="BG945" s="7">
        <f t="shared" si="184"/>
        <v>4.5890651214133555</v>
      </c>
      <c r="BI945" s="10">
        <f t="shared" si="185"/>
        <v>-3.1212802549909973</v>
      </c>
      <c r="BJ945">
        <f t="shared" si="186"/>
        <v>10.236145890899955</v>
      </c>
    </row>
    <row r="946" spans="42:62" x14ac:dyDescent="0.25">
      <c r="AP946" s="1">
        <v>941</v>
      </c>
      <c r="AQ946" s="7">
        <f t="shared" si="175"/>
        <v>102082.27824817033</v>
      </c>
      <c r="AR946" s="7">
        <f t="shared" si="176"/>
        <v>-325709.28241352428</v>
      </c>
      <c r="AS946" s="7"/>
      <c r="AT946" s="7">
        <f t="shared" si="177"/>
        <v>625.96953205711361</v>
      </c>
      <c r="AU946" s="7">
        <f t="shared" si="178"/>
        <v>-633.5081554482698</v>
      </c>
      <c r="AV946" s="7"/>
      <c r="AX946" s="7">
        <f t="shared" si="179"/>
        <v>-1.0621005016867076</v>
      </c>
      <c r="AY946" s="7">
        <f t="shared" si="180"/>
        <v>4.3115487724167876</v>
      </c>
      <c r="BB946" s="7">
        <f t="shared" si="181"/>
        <v>-0.48072280069934786</v>
      </c>
      <c r="BC946" s="7">
        <f t="shared" si="182"/>
        <v>1.3219208289555033</v>
      </c>
      <c r="BF946" s="7">
        <f t="shared" si="183"/>
        <v>-1.5773797806417356</v>
      </c>
      <c r="BG946" s="7">
        <f t="shared" si="184"/>
        <v>4.5769155060461211</v>
      </c>
      <c r="BI946" s="10">
        <f t="shared" si="185"/>
        <v>-3.1202030830277909</v>
      </c>
      <c r="BJ946">
        <f t="shared" si="186"/>
        <v>10.210385107418411</v>
      </c>
    </row>
    <row r="947" spans="42:62" x14ac:dyDescent="0.25">
      <c r="AP947" s="1">
        <v>942</v>
      </c>
      <c r="AQ947" s="7">
        <f t="shared" si="175"/>
        <v>102394.87298881351</v>
      </c>
      <c r="AR947" s="7">
        <f t="shared" si="176"/>
        <v>-326024.76019310998</v>
      </c>
      <c r="AS947" s="7"/>
      <c r="AT947" s="7">
        <f t="shared" si="177"/>
        <v>624.40943051559975</v>
      </c>
      <c r="AU947" s="7">
        <f t="shared" si="178"/>
        <v>-628.40296289456057</v>
      </c>
      <c r="AV947" s="7"/>
      <c r="AX947" s="7">
        <f t="shared" si="179"/>
        <v>-1.0626036291657028</v>
      </c>
      <c r="AY947" s="7">
        <f t="shared" si="180"/>
        <v>4.3012945798937725</v>
      </c>
      <c r="BB947" s="7">
        <f t="shared" si="181"/>
        <v>-0.4803253745374364</v>
      </c>
      <c r="BC947" s="7">
        <f t="shared" si="182"/>
        <v>1.3186926449799847</v>
      </c>
      <c r="BF947" s="7">
        <f t="shared" si="183"/>
        <v>-1.5762249553091718</v>
      </c>
      <c r="BG947" s="7">
        <f t="shared" si="184"/>
        <v>4.5648826158255771</v>
      </c>
      <c r="BI947" s="10">
        <f t="shared" si="185"/>
        <v>-3.1191539590123112</v>
      </c>
      <c r="BJ947">
        <f t="shared" si="186"/>
        <v>10.184869840699335</v>
      </c>
    </row>
    <row r="948" spans="42:62" x14ac:dyDescent="0.25">
      <c r="AP948" s="1">
        <v>943</v>
      </c>
      <c r="AQ948" s="7">
        <f t="shared" si="175"/>
        <v>102706.68780982644</v>
      </c>
      <c r="AR948" s="7">
        <f t="shared" si="176"/>
        <v>-326337.68856582715</v>
      </c>
      <c r="AS948" s="7"/>
      <c r="AT948" s="7">
        <f t="shared" si="177"/>
        <v>622.84985353609363</v>
      </c>
      <c r="AU948" s="7">
        <f t="shared" si="178"/>
        <v>-623.31052797421091</v>
      </c>
      <c r="AV948" s="7"/>
      <c r="AX948" s="7">
        <f t="shared" si="179"/>
        <v>-1.0631088500716028</v>
      </c>
      <c r="AY948" s="7">
        <f t="shared" si="180"/>
        <v>4.2911378825596218</v>
      </c>
      <c r="BB948" s="7">
        <f t="shared" si="181"/>
        <v>-0.47993424008530522</v>
      </c>
      <c r="BC948" s="7">
        <f t="shared" si="182"/>
        <v>1.3154945003817604</v>
      </c>
      <c r="BF948" s="7">
        <f t="shared" si="183"/>
        <v>-1.575089760300205</v>
      </c>
      <c r="BG948" s="7">
        <f t="shared" si="184"/>
        <v>4.552965235746754</v>
      </c>
      <c r="BI948" s="10">
        <f t="shared" si="185"/>
        <v>-3.1181328504571129</v>
      </c>
      <c r="BJ948">
        <f t="shared" si="186"/>
        <v>10.159597618688135</v>
      </c>
    </row>
    <row r="949" spans="42:62" x14ac:dyDescent="0.25">
      <c r="AP949" s="1">
        <v>944</v>
      </c>
      <c r="AQ949" s="7">
        <f t="shared" si="175"/>
        <v>103017.72296998817</v>
      </c>
      <c r="AR949" s="7">
        <f t="shared" si="176"/>
        <v>-326648.07388011192</v>
      </c>
      <c r="AS949" s="7"/>
      <c r="AT949" s="7">
        <f t="shared" si="177"/>
        <v>621.29078711086504</v>
      </c>
      <c r="AU949" s="7">
        <f t="shared" si="178"/>
        <v>-618.23072916486683</v>
      </c>
      <c r="AV949" s="7"/>
      <c r="AX949" s="7">
        <f t="shared" si="179"/>
        <v>-1.0636162633182298</v>
      </c>
      <c r="AY949" s="7">
        <f t="shared" si="180"/>
        <v>4.2810777388321206</v>
      </c>
      <c r="BB949" s="7">
        <f t="shared" si="181"/>
        <v>-0.47954936008873034</v>
      </c>
      <c r="BC949" s="7">
        <f t="shared" si="182"/>
        <v>1.3123260982785103</v>
      </c>
      <c r="BF949" s="7">
        <f t="shared" si="183"/>
        <v>-1.573974101835977</v>
      </c>
      <c r="BG949" s="7">
        <f t="shared" si="184"/>
        <v>4.5411621693844619</v>
      </c>
      <c r="BI949" s="10">
        <f t="shared" si="185"/>
        <v>-3.1171397252429367</v>
      </c>
      <c r="BJ949">
        <f t="shared" si="186"/>
        <v>10.134566006495092</v>
      </c>
    </row>
    <row r="950" spans="42:62" x14ac:dyDescent="0.25">
      <c r="AP950" s="1">
        <v>945</v>
      </c>
      <c r="AQ950" s="7">
        <f t="shared" si="175"/>
        <v>103327.97872107795</v>
      </c>
      <c r="AR950" s="7">
        <f t="shared" si="176"/>
        <v>-326955.92242394353</v>
      </c>
      <c r="AS950" s="7"/>
      <c r="AT950" s="7">
        <f t="shared" si="177"/>
        <v>619.73221724824361</v>
      </c>
      <c r="AU950" s="7">
        <f t="shared" si="178"/>
        <v>-613.16344616161928</v>
      </c>
      <c r="AV950" s="7"/>
      <c r="AX950" s="7">
        <f t="shared" si="179"/>
        <v>-1.0641259661857956</v>
      </c>
      <c r="AY950" s="7">
        <f t="shared" si="180"/>
        <v>4.2711132210136533</v>
      </c>
      <c r="BB950" s="7">
        <f t="shared" si="181"/>
        <v>-0.47917069788690175</v>
      </c>
      <c r="BC950" s="7">
        <f t="shared" si="182"/>
        <v>1.3091871461719724</v>
      </c>
      <c r="BF950" s="7">
        <f t="shared" si="183"/>
        <v>-1.5728778875684701</v>
      </c>
      <c r="BG950" s="7">
        <f t="shared" si="184"/>
        <v>4.5294722385618913</v>
      </c>
      <c r="BI950" s="10">
        <f t="shared" si="185"/>
        <v>-3.1161745516411674</v>
      </c>
      <c r="BJ950">
        <f t="shared" si="186"/>
        <v>10.109772605747517</v>
      </c>
    </row>
    <row r="951" spans="42:62" x14ac:dyDescent="0.25">
      <c r="AP951" s="1">
        <v>946</v>
      </c>
      <c r="AQ951" s="7">
        <f t="shared" si="175"/>
        <v>103637.45530788311</v>
      </c>
      <c r="AR951" s="7">
        <f t="shared" si="176"/>
        <v>-327261.24042544863</v>
      </c>
      <c r="AS951" s="7"/>
      <c r="AT951" s="7">
        <f t="shared" si="177"/>
        <v>618.17412997242297</v>
      </c>
      <c r="AU951" s="7">
        <f t="shared" si="178"/>
        <v>-608.10855985874548</v>
      </c>
      <c r="AV951" s="7"/>
      <c r="AX951" s="7">
        <f t="shared" si="179"/>
        <v>-1.0646380543635083</v>
      </c>
      <c r="AY951" s="7">
        <f t="shared" si="180"/>
        <v>4.2612434150572778</v>
      </c>
      <c r="BB951" s="7">
        <f t="shared" si="181"/>
        <v>-0.47879821740452244</v>
      </c>
      <c r="BC951" s="7">
        <f t="shared" si="182"/>
        <v>1.3060773558726497</v>
      </c>
      <c r="BF951" s="7">
        <f t="shared" si="183"/>
        <v>-1.571801026567416</v>
      </c>
      <c r="BG951" s="7">
        <f t="shared" si="184"/>
        <v>4.5178942830256066</v>
      </c>
      <c r="BI951" s="10">
        <f t="shared" si="185"/>
        <v>-3.115237298335447</v>
      </c>
      <c r="BJ951">
        <f t="shared" si="186"/>
        <v>10.085215053955533</v>
      </c>
    </row>
    <row r="952" spans="42:62" x14ac:dyDescent="0.25">
      <c r="AP952" s="1">
        <v>947</v>
      </c>
      <c r="AQ952" s="7">
        <f t="shared" si="175"/>
        <v>103946.15296820702</v>
      </c>
      <c r="AR952" s="7">
        <f t="shared" si="176"/>
        <v>-327564.03405349626</v>
      </c>
      <c r="AS952" s="7"/>
      <c r="AT952" s="7">
        <f t="shared" si="177"/>
        <v>616.61651132325528</v>
      </c>
      <c r="AU952" s="7">
        <f t="shared" si="178"/>
        <v>-603.06595233176768</v>
      </c>
      <c r="AV952" s="7"/>
      <c r="AX952" s="7">
        <f t="shared" si="179"/>
        <v>-1.0651526219910448</v>
      </c>
      <c r="AY952" s="7">
        <f t="shared" si="180"/>
        <v>4.2514674203372378</v>
      </c>
      <c r="BB952" s="7">
        <f t="shared" si="181"/>
        <v>-0.47843188314406582</v>
      </c>
      <c r="BC952" s="7">
        <f t="shared" si="182"/>
        <v>1.3029964434261054</v>
      </c>
      <c r="BF952" s="7">
        <f t="shared" si="183"/>
        <v>-1.5707434293076377</v>
      </c>
      <c r="BG952" s="7">
        <f t="shared" si="184"/>
        <v>4.5064271601282764</v>
      </c>
      <c r="BI952" s="10">
        <f t="shared" si="185"/>
        <v>-3.1143279344427484</v>
      </c>
      <c r="BJ952">
        <f t="shared" si="186"/>
        <v>10.060891023891621</v>
      </c>
    </row>
    <row r="953" spans="42:62" x14ac:dyDescent="0.25">
      <c r="AP953" s="1">
        <v>948</v>
      </c>
      <c r="AQ953" s="7">
        <f t="shared" si="175"/>
        <v>104254.07193287685</v>
      </c>
      <c r="AR953" s="7">
        <f t="shared" si="176"/>
        <v>-327864.30941828416</v>
      </c>
      <c r="AS953" s="7"/>
      <c r="AT953" s="7">
        <f t="shared" si="177"/>
        <v>615.05934735603387</v>
      </c>
      <c r="AU953" s="7">
        <f t="shared" si="178"/>
        <v>-598.03550681982188</v>
      </c>
      <c r="AV953" s="7"/>
      <c r="AX953" s="7">
        <f t="shared" si="179"/>
        <v>-1.0656697616990869</v>
      </c>
      <c r="AY953" s="7">
        <f t="shared" si="180"/>
        <v>4.241784349424484</v>
      </c>
      <c r="BB953" s="7">
        <f t="shared" si="181"/>
        <v>-0.47807166017817004</v>
      </c>
      <c r="BC953" s="7">
        <f t="shared" si="182"/>
        <v>1.2999441290407481</v>
      </c>
      <c r="BF953" s="7">
        <f t="shared" si="183"/>
        <v>-1.5697050076564087</v>
      </c>
      <c r="BG953" s="7">
        <f t="shared" si="184"/>
        <v>4.4950697445177887</v>
      </c>
      <c r="BI953" s="10">
        <f t="shared" si="185"/>
        <v>-3.1134464295336652</v>
      </c>
      <c r="BJ953">
        <f t="shared" si="186"/>
        <v>10.03679822298302</v>
      </c>
    </row>
    <row r="954" spans="42:62" x14ac:dyDescent="0.25">
      <c r="AP954" s="1">
        <v>949</v>
      </c>
      <c r="AQ954" s="7">
        <f t="shared" si="175"/>
        <v>104561.21242575118</v>
      </c>
      <c r="AR954" s="7">
        <f t="shared" si="176"/>
        <v>-328162.07257191621</v>
      </c>
      <c r="AS954" s="7"/>
      <c r="AT954" s="7">
        <f t="shared" si="177"/>
        <v>613.50262414126701</v>
      </c>
      <c r="AU954" s="7">
        <f t="shared" si="178"/>
        <v>-593.0171077083304</v>
      </c>
      <c r="AV954" s="7"/>
      <c r="AX954" s="7">
        <f t="shared" si="179"/>
        <v>-1.0661895646488555</v>
      </c>
      <c r="AY954" s="7">
        <f t="shared" si="180"/>
        <v>4.232193327866713</v>
      </c>
      <c r="BB954" s="7">
        <f t="shared" si="181"/>
        <v>-0.47771751414220492</v>
      </c>
      <c r="BC954" s="7">
        <f t="shared" si="182"/>
        <v>1.2969201370171834</v>
      </c>
      <c r="BF954" s="7">
        <f t="shared" si="183"/>
        <v>-1.5686856748610083</v>
      </c>
      <c r="BG954" s="7">
        <f t="shared" si="184"/>
        <v>4.4838209278330767</v>
      </c>
      <c r="BI954" s="10">
        <f t="shared" si="185"/>
        <v>-3.112592753652069</v>
      </c>
      <c r="BJ954">
        <f t="shared" si="186"/>
        <v>10.012934392716973</v>
      </c>
    </row>
    <row r="955" spans="42:62" x14ac:dyDescent="0.25">
      <c r="AP955" s="1">
        <v>950</v>
      </c>
      <c r="AQ955" s="7">
        <f t="shared" si="175"/>
        <v>104867.5746637276</v>
      </c>
      <c r="AR955" s="7">
        <f t="shared" si="176"/>
        <v>-328457.32950897131</v>
      </c>
      <c r="AS955" s="7"/>
      <c r="AT955" s="7">
        <f t="shared" si="177"/>
        <v>611.94632776444098</v>
      </c>
      <c r="AU955" s="7">
        <f t="shared" si="178"/>
        <v>-588.01064051197193</v>
      </c>
      <c r="AV955" s="7"/>
      <c r="AX955" s="7">
        <f t="shared" si="179"/>
        <v>-1.0667121205707069</v>
      </c>
      <c r="AY955" s="7">
        <f t="shared" si="180"/>
        <v>4.2226934939729546</v>
      </c>
      <c r="BB955" s="7">
        <f t="shared" si="181"/>
        <v>-0.47736941122696441</v>
      </c>
      <c r="BC955" s="7">
        <f t="shared" si="182"/>
        <v>1.2939241956789769</v>
      </c>
      <c r="BF955" s="7">
        <f t="shared" si="183"/>
        <v>-1.5676853455365647</v>
      </c>
      <c r="BG955" s="7">
        <f t="shared" si="184"/>
        <v>4.4726796184067874</v>
      </c>
      <c r="BI955" s="10">
        <f t="shared" si="185"/>
        <v>-3.1117668773342357</v>
      </c>
      <c r="BJ955">
        <f t="shared" si="186"/>
        <v>9.9892973080587186</v>
      </c>
    </row>
    <row r="956" spans="42:62" x14ac:dyDescent="0.25">
      <c r="AP956" s="1">
        <v>951</v>
      </c>
      <c r="AQ956" s="7">
        <f t="shared" si="175"/>
        <v>105173.15885675016</v>
      </c>
      <c r="AR956" s="7">
        <f t="shared" si="176"/>
        <v>-328750.0861670638</v>
      </c>
      <c r="AS956" s="7"/>
      <c r="AT956" s="7">
        <f t="shared" si="177"/>
        <v>610.39044432577384</v>
      </c>
      <c r="AU956" s="7">
        <f t="shared" si="178"/>
        <v>-583.01599185794259</v>
      </c>
      <c r="AV956" s="7"/>
      <c r="AX956" s="7">
        <f t="shared" si="179"/>
        <v>-1.0672375178017568</v>
      </c>
      <c r="AY956" s="7">
        <f t="shared" si="180"/>
        <v>4.21328399860238</v>
      </c>
      <c r="BB956" s="7">
        <f t="shared" si="181"/>
        <v>-0.47702731817151423</v>
      </c>
      <c r="BC956" s="7">
        <f t="shared" si="182"/>
        <v>1.290956037304875</v>
      </c>
      <c r="BF956" s="7">
        <f t="shared" si="183"/>
        <v>-1.5667039356538799</v>
      </c>
      <c r="BG956" s="7">
        <f t="shared" si="184"/>
        <v>4.4616447409737301</v>
      </c>
      <c r="BI956" s="10">
        <f t="shared" si="185"/>
        <v>-3.1109687716271512</v>
      </c>
      <c r="BJ956">
        <f t="shared" si="186"/>
        <v>9.9658847768809853</v>
      </c>
    </row>
    <row r="957" spans="42:62" x14ac:dyDescent="0.25">
      <c r="AP957" s="1">
        <v>952</v>
      </c>
      <c r="AQ957" s="7">
        <f t="shared" si="175"/>
        <v>105477.9652078166</v>
      </c>
      <c r="AR957" s="7">
        <f t="shared" si="176"/>
        <v>-329040.34842739569</v>
      </c>
      <c r="AS957" s="7"/>
      <c r="AT957" s="7">
        <f t="shared" si="177"/>
        <v>608.8349599399603</v>
      </c>
      <c r="AU957" s="7">
        <f t="shared" si="178"/>
        <v>-578.03304946950209</v>
      </c>
      <c r="AV957" s="7"/>
      <c r="AX957" s="7">
        <f t="shared" si="179"/>
        <v>-1.0677658433226989</v>
      </c>
      <c r="AY957" s="7">
        <f t="shared" si="180"/>
        <v>4.203964004957764</v>
      </c>
      <c r="BB957" s="7">
        <f t="shared" si="181"/>
        <v>-0.47669120225618022</v>
      </c>
      <c r="BC957" s="7">
        <f t="shared" si="182"/>
        <v>1.2880153980624289</v>
      </c>
      <c r="BF957" s="7">
        <f t="shared" si="183"/>
        <v>-1.5657413625275891</v>
      </c>
      <c r="BG957" s="7">
        <f t="shared" si="184"/>
        <v>4.450715236385979</v>
      </c>
      <c r="BI957" s="10">
        <f t="shared" si="185"/>
        <v>-3.1101984081064682</v>
      </c>
      <c r="BJ957">
        <f t="shared" si="186"/>
        <v>9.9426946394061719</v>
      </c>
    </row>
    <row r="958" spans="42:62" x14ac:dyDescent="0.25">
      <c r="AP958" s="1">
        <v>953</v>
      </c>
      <c r="AQ958" s="7">
        <f t="shared" si="175"/>
        <v>105781.99391298556</v>
      </c>
      <c r="AR958" s="7">
        <f t="shared" si="176"/>
        <v>-329328.1221153005</v>
      </c>
      <c r="AS958" s="7"/>
      <c r="AT958" s="7">
        <f t="shared" si="177"/>
        <v>607.27986073590705</v>
      </c>
      <c r="AU958" s="7">
        <f t="shared" si="178"/>
        <v>-573.06170214979898</v>
      </c>
      <c r="AV958" s="7"/>
      <c r="AX958" s="7">
        <f t="shared" si="179"/>
        <v>-1.0682971827936674</v>
      </c>
      <c r="AY958" s="7">
        <f t="shared" si="180"/>
        <v>4.1947326883828229</v>
      </c>
      <c r="BB958" s="7">
        <f t="shared" si="181"/>
        <v>-0.47636103129567003</v>
      </c>
      <c r="BC958" s="7">
        <f t="shared" si="182"/>
        <v>1.285102017942966</v>
      </c>
      <c r="BF958" s="7">
        <f t="shared" si="183"/>
        <v>-1.5647975448044464</v>
      </c>
      <c r="BG958" s="7">
        <f t="shared" si="184"/>
        <v>4.439890061333875</v>
      </c>
      <c r="BI958" s="10">
        <f t="shared" si="185"/>
        <v>-3.1094557588937839</v>
      </c>
      <c r="BJ958">
        <f t="shared" si="186"/>
        <v>9.9197247676596643</v>
      </c>
    </row>
    <row r="959" spans="42:62" x14ac:dyDescent="0.25">
      <c r="AP959" s="1">
        <v>954</v>
      </c>
      <c r="AQ959" s="7">
        <f t="shared" si="175"/>
        <v>106085.24516138365</v>
      </c>
      <c r="AR959" s="7">
        <f t="shared" si="176"/>
        <v>-329613.41300077946</v>
      </c>
      <c r="AS959" s="7"/>
      <c r="AT959" s="7">
        <f t="shared" si="177"/>
        <v>605.72513285646016</v>
      </c>
      <c r="AU959" s="7">
        <f t="shared" si="178"/>
        <v>-568.10183976596909</v>
      </c>
      <c r="AV959" s="7"/>
      <c r="AX959" s="7">
        <f t="shared" si="179"/>
        <v>-1.0688316205892963</v>
      </c>
      <c r="AY959" s="7">
        <f t="shared" si="180"/>
        <v>4.1855892361638301</v>
      </c>
      <c r="BB959" s="7">
        <f t="shared" si="181"/>
        <v>-0.47603677363233204</v>
      </c>
      <c r="BC959" s="7">
        <f t="shared" si="182"/>
        <v>1.2822156406979033</v>
      </c>
      <c r="BF959" s="7">
        <f t="shared" si="183"/>
        <v>-1.5638724024517161</v>
      </c>
      <c r="BG959" s="7">
        <f t="shared" si="184"/>
        <v>4.4291681880727518</v>
      </c>
      <c r="BI959" s="10">
        <f t="shared" si="185"/>
        <v>-3.1087407966733442</v>
      </c>
      <c r="BJ959">
        <f t="shared" si="186"/>
        <v>9.8969730649344854</v>
      </c>
    </row>
    <row r="960" spans="42:62" x14ac:dyDescent="0.25">
      <c r="AP960" s="1">
        <v>955</v>
      </c>
      <c r="AQ960" s="7">
        <f t="shared" si="175"/>
        <v>106387.71913521229</v>
      </c>
      <c r="AR960" s="7">
        <f t="shared" si="176"/>
        <v>-329896.22679902933</v>
      </c>
      <c r="AS960" s="7"/>
      <c r="AT960" s="7">
        <f t="shared" si="177"/>
        <v>604.17076245812348</v>
      </c>
      <c r="AU960" s="7">
        <f t="shared" si="178"/>
        <v>-563.15335323350189</v>
      </c>
      <c r="AV960" s="7"/>
      <c r="AX960" s="7">
        <f t="shared" si="179"/>
        <v>-1.0693692398329795</v>
      </c>
      <c r="AY960" s="7">
        <f t="shared" si="180"/>
        <v>4.1765328473353369</v>
      </c>
      <c r="BB960" s="7">
        <f t="shared" si="181"/>
        <v>-0.47571839812956163</v>
      </c>
      <c r="BC960" s="7">
        <f t="shared" si="182"/>
        <v>1.2793560137764</v>
      </c>
      <c r="BF960" s="7">
        <f t="shared" si="183"/>
        <v>-1.5629658567458455</v>
      </c>
      <c r="BG960" s="7">
        <f t="shared" si="184"/>
        <v>4.4185486041556965</v>
      </c>
      <c r="BI960" s="10">
        <f t="shared" si="185"/>
        <v>-3.1080534947083862</v>
      </c>
      <c r="BJ960">
        <f t="shared" si="186"/>
        <v>9.8744374652674338</v>
      </c>
    </row>
    <row r="961" spans="42:62" x14ac:dyDescent="0.25">
      <c r="AP961" s="1">
        <v>956</v>
      </c>
      <c r="AQ961" s="7">
        <f t="shared" si="175"/>
        <v>106689.41600975451</v>
      </c>
      <c r="AR961" s="7">
        <f t="shared" si="176"/>
        <v>-330176.5691709629</v>
      </c>
      <c r="AS961" s="7"/>
      <c r="AT961" s="7">
        <f t="shared" si="177"/>
        <v>602.61673571076926</v>
      </c>
      <c r="AU961" s="7">
        <f t="shared" si="178"/>
        <v>-558.21613450086818</v>
      </c>
      <c r="AV961" s="7"/>
      <c r="AX961" s="7">
        <f t="shared" si="179"/>
        <v>-1.0699101224302243</v>
      </c>
      <c r="AY961" s="7">
        <f t="shared" si="180"/>
        <v>4.1675627324894018</v>
      </c>
      <c r="BB961" s="7">
        <f t="shared" si="181"/>
        <v>-0.4754058741652934</v>
      </c>
      <c r="BC961" s="7">
        <f t="shared" si="182"/>
        <v>1.2765228882641637</v>
      </c>
      <c r="BF961" s="7">
        <f t="shared" si="183"/>
        <v>-1.5620778302611988</v>
      </c>
      <c r="BG961" s="7">
        <f t="shared" si="184"/>
        <v>4.4080303121716398</v>
      </c>
      <c r="BI961" s="10">
        <f t="shared" si="185"/>
        <v>-3.1073938268567165</v>
      </c>
      <c r="BJ961">
        <f t="shared" si="186"/>
        <v>9.852115932925205</v>
      </c>
    </row>
    <row r="962" spans="42:62" x14ac:dyDescent="0.25">
      <c r="AP962" s="1">
        <v>957</v>
      </c>
      <c r="AQ962" s="7">
        <f t="shared" si="175"/>
        <v>106990.33595338154</v>
      </c>
      <c r="AR962" s="7">
        <f t="shared" si="176"/>
        <v>-330454.44572372176</v>
      </c>
      <c r="AS962" s="7"/>
      <c r="AT962" s="7">
        <f t="shared" si="177"/>
        <v>601.06303879734094</v>
      </c>
      <c r="AU962" s="7">
        <f t="shared" si="178"/>
        <v>-553.29007653440556</v>
      </c>
      <c r="AV962" s="7"/>
      <c r="AX962" s="7">
        <f t="shared" si="179"/>
        <v>-1.0704543491014</v>
      </c>
      <c r="AY962" s="7">
        <f t="shared" si="180"/>
        <v>4.1586781135893318</v>
      </c>
      <c r="BB962" s="7">
        <f t="shared" si="181"/>
        <v>-0.47509917162568799</v>
      </c>
      <c r="BC962" s="7">
        <f t="shared" si="182"/>
        <v>1.2737160188236818</v>
      </c>
      <c r="BF962" s="7">
        <f t="shared" si="183"/>
        <v>-1.5612082468590525</v>
      </c>
      <c r="BG962" s="7">
        <f t="shared" si="184"/>
        <v>4.3976123294891769</v>
      </c>
      <c r="BI962" s="10">
        <f t="shared" si="185"/>
        <v>-3.1067617675861405</v>
      </c>
      <c r="BJ962">
        <f t="shared" si="186"/>
        <v>9.8300064619021903</v>
      </c>
    </row>
    <row r="963" spans="42:62" x14ac:dyDescent="0.25">
      <c r="AP963" s="1">
        <v>958</v>
      </c>
      <c r="AQ963" s="7">
        <f t="shared" si="175"/>
        <v>107290.47912755927</v>
      </c>
      <c r="AR963" s="7">
        <f t="shared" si="176"/>
        <v>-330729.86201118119</v>
      </c>
      <c r="AS963" s="7"/>
      <c r="AT963" s="7">
        <f t="shared" si="177"/>
        <v>599.50965791354781</v>
      </c>
      <c r="AU963" s="7">
        <f t="shared" si="178"/>
        <v>-548.37507330345443</v>
      </c>
      <c r="AV963" s="7"/>
      <c r="AX963" s="7">
        <f t="shared" si="179"/>
        <v>-1.0710019994135584</v>
      </c>
      <c r="AY963" s="7">
        <f t="shared" si="180"/>
        <v>4.1498782237864873</v>
      </c>
      <c r="BB963" s="7">
        <f t="shared" si="181"/>
        <v>-0.47479826089887195</v>
      </c>
      <c r="BC963" s="7">
        <f t="shared" si="182"/>
        <v>1.2709351636354662</v>
      </c>
      <c r="BF963" s="7">
        <f t="shared" si="183"/>
        <v>-1.560357031676697</v>
      </c>
      <c r="BG963" s="7">
        <f t="shared" si="184"/>
        <v>4.38729368800555</v>
      </c>
      <c r="BI963" s="10">
        <f t="shared" si="185"/>
        <v>-3.1061572919891276</v>
      </c>
      <c r="BJ963">
        <f t="shared" si="186"/>
        <v>9.8081070754275039</v>
      </c>
    </row>
    <row r="964" spans="42:62" x14ac:dyDescent="0.25">
      <c r="AP964" s="1">
        <v>959</v>
      </c>
      <c r="AQ964" s="7">
        <f t="shared" si="175"/>
        <v>107589.84568685455</v>
      </c>
      <c r="AR964" s="7">
        <f t="shared" si="176"/>
        <v>-331002.82353444851</v>
      </c>
      <c r="AS964" s="7"/>
      <c r="AT964" s="7">
        <f t="shared" si="177"/>
        <v>597.95657926755325</v>
      </c>
      <c r="AU964" s="7">
        <f t="shared" si="178"/>
        <v>-543.47101976574072</v>
      </c>
      <c r="AV964" s="7"/>
      <c r="AX964" s="7">
        <f t="shared" si="179"/>
        <v>-1.0715531518116259</v>
      </c>
      <c r="AY964" s="7">
        <f t="shared" si="180"/>
        <v>4.1411623072411734</v>
      </c>
      <c r="BB964" s="7">
        <f t="shared" si="181"/>
        <v>-0.47450311286886337</v>
      </c>
      <c r="BC964" s="7">
        <f t="shared" si="182"/>
        <v>1.2681800843406641</v>
      </c>
      <c r="BF964" s="7">
        <f t="shared" si="183"/>
        <v>-1.5595241111167377</v>
      </c>
      <c r="BG964" s="7">
        <f t="shared" si="184"/>
        <v>4.3770734339009643</v>
      </c>
      <c r="BI964" s="10">
        <f t="shared" si="185"/>
        <v>-3.1055803757972269</v>
      </c>
      <c r="BJ964">
        <f t="shared" si="186"/>
        <v>9.786415825482802</v>
      </c>
    </row>
    <row r="965" spans="42:62" x14ac:dyDescent="0.25">
      <c r="AP965" s="1">
        <v>960</v>
      </c>
      <c r="AQ965" s="7">
        <f t="shared" si="175"/>
        <v>107888.43577894135</v>
      </c>
      <c r="AR965" s="7">
        <f t="shared" si="176"/>
        <v>-331273.33574235317</v>
      </c>
      <c r="AS965" s="7"/>
      <c r="AT965" s="7">
        <f t="shared" si="177"/>
        <v>596.40378907965464</v>
      </c>
      <c r="AU965" s="7">
        <f t="shared" si="178"/>
        <v>-538.57781185299928</v>
      </c>
      <c r="AV965" s="7"/>
      <c r="AX965" s="7">
        <f t="shared" si="179"/>
        <v>-1.0721078836488385</v>
      </c>
      <c r="AY965" s="7">
        <f t="shared" si="180"/>
        <v>4.132529618946946</v>
      </c>
      <c r="BB965" s="7">
        <f t="shared" si="181"/>
        <v>-0.47421369890957266</v>
      </c>
      <c r="BC965" s="7">
        <f t="shared" si="182"/>
        <v>1.2654505459846936</v>
      </c>
      <c r="BF965" s="7">
        <f t="shared" si="183"/>
        <v>-1.55870941283654</v>
      </c>
      <c r="BG965" s="7">
        <f t="shared" si="184"/>
        <v>4.3669506273979151</v>
      </c>
      <c r="BI965" s="10">
        <f t="shared" si="185"/>
        <v>-3.1050309953949511</v>
      </c>
      <c r="BJ965">
        <f t="shared" si="186"/>
        <v>9.7649307923295545</v>
      </c>
    </row>
    <row r="966" spans="42:62" x14ac:dyDescent="0.25">
      <c r="AP966" s="1">
        <v>961</v>
      </c>
      <c r="AQ966" s="7">
        <f t="shared" ref="AQ966:AQ1004" si="187">AQ965+(AT965*$R$7)+((1/2)*(BI965)*$R$7^2)</f>
        <v>108186.24954460675</v>
      </c>
      <c r="AR966" s="7">
        <f t="shared" ref="AR966:AR1004" si="188">AR965+(AU965*$R$7)+((1/2)*(BJ965)*$R$7^2)</f>
        <v>-331541.40403193067</v>
      </c>
      <c r="AS966" s="7"/>
      <c r="AT966" s="7">
        <f t="shared" ref="AT966:AT1004" si="189">AT965+(BI965)*$R$7</f>
        <v>594.85127358195712</v>
      </c>
      <c r="AU966" s="7">
        <f t="shared" ref="AU966:AU1004" si="190">AU965+(BJ965)*$R$7</f>
        <v>-533.6953464568345</v>
      </c>
      <c r="AV966" s="7"/>
      <c r="AX966" s="7">
        <f t="shared" ref="AX966:AX1004" si="191">(($R$23-AQ966)/(($R$23-AQ966)^2+($S$23-AR966)^2+$R$28^2)^(3/2))*$R$27</f>
        <v>-1.072666271216494</v>
      </c>
      <c r="AY966" s="7">
        <f t="shared" ref="AY966:AY1004" si="192">(($S$23-AR966)/(($R$23-AQ966)^2+($S$23-AR966)^2+$R$28^2)^(3/2))*$R$27</f>
        <v>4.1239794245584571</v>
      </c>
      <c r="BB966" s="7">
        <f t="shared" ref="BB966:BB1004" si="193">(($R$32-AQ966)/(($R$32-AQ966)^2+($S$32-AR966)^2+$R$37^2)^(3/2))*$R$36</f>
        <v>-0.47392999087894128</v>
      </c>
      <c r="BC966" s="7">
        <f t="shared" ref="BC966:BC1004" si="194">(($S$32-AR966)/(($R$32-AQ966)^2+($S$32-AR966)^2+$R$37^2)^(3/2))*$R$36</f>
        <v>1.2627463169620756</v>
      </c>
      <c r="BF966" s="7">
        <f t="shared" ref="BF966:BF1004" si="195">(($R$41-AQ966)/(($R$41-AQ966)^2+($S$41-AR966)^2+$R$46^2)^(3/2))*$R$45</f>
        <v>-1.5579128657378367</v>
      </c>
      <c r="BG966" s="7">
        <f t="shared" ref="BG966:BG1004" si="196">(($S$41-AR966)/(($R$41-AQ966)^2+($S$41-AR966)^2+$R$46^2)^(3/2))*$R$45</f>
        <v>4.3569243425255051</v>
      </c>
      <c r="BI966" s="10">
        <f t="shared" ref="BI966:BI1004" si="197">BF966+BB966+AX966</f>
        <v>-3.1045091278332722</v>
      </c>
      <c r="BJ966">
        <f t="shared" ref="BJ966:BJ1004" si="198">BG966+BC966+AY966</f>
        <v>9.7436500840460383</v>
      </c>
    </row>
    <row r="967" spans="42:62" x14ac:dyDescent="0.25">
      <c r="AP967" s="1">
        <v>962</v>
      </c>
      <c r="AQ967" s="7">
        <f t="shared" si="187"/>
        <v>108483.28711775676</v>
      </c>
      <c r="AR967" s="7">
        <f t="shared" si="188"/>
        <v>-331807.0337488986</v>
      </c>
      <c r="AS967" s="7"/>
      <c r="AT967" s="7">
        <f t="shared" si="189"/>
        <v>593.29901901804044</v>
      </c>
      <c r="AU967" s="7">
        <f t="shared" si="190"/>
        <v>-528.82352141481147</v>
      </c>
      <c r="AV967" s="7"/>
      <c r="AX967" s="7">
        <f t="shared" si="191"/>
        <v>-1.0732283897730341</v>
      </c>
      <c r="AY967" s="7">
        <f t="shared" si="192"/>
        <v>4.1155110002227406</v>
      </c>
      <c r="BB967" s="7">
        <f t="shared" si="193"/>
        <v>-0.47365196111319863</v>
      </c>
      <c r="BC967" s="7">
        <f t="shared" si="194"/>
        <v>1.2600671689623699</v>
      </c>
      <c r="BF967" s="7">
        <f t="shared" si="195"/>
        <v>-1.5571343999565495</v>
      </c>
      <c r="BG967" s="7">
        <f t="shared" si="196"/>
        <v>4.3469936668887437</v>
      </c>
      <c r="BI967" s="10">
        <f t="shared" si="197"/>
        <v>-3.1040147508427824</v>
      </c>
      <c r="BJ967">
        <f t="shared" si="198"/>
        <v>9.722571836073854</v>
      </c>
    </row>
    <row r="968" spans="42:62" x14ac:dyDescent="0.25">
      <c r="AP968" s="1">
        <v>963</v>
      </c>
      <c r="AQ968" s="7">
        <f t="shared" si="187"/>
        <v>108779.54862542193</v>
      </c>
      <c r="AR968" s="7">
        <f t="shared" si="188"/>
        <v>-332070.2301881265</v>
      </c>
      <c r="AS968" s="7"/>
      <c r="AT968" s="7">
        <f t="shared" si="189"/>
        <v>591.7470116426191</v>
      </c>
      <c r="AU968" s="7">
        <f t="shared" si="190"/>
        <v>-523.9622354967745</v>
      </c>
      <c r="AV968" s="7"/>
      <c r="AX968" s="7">
        <f t="shared" si="191"/>
        <v>-1.0737943135724735</v>
      </c>
      <c r="AY968" s="7">
        <f t="shared" si="192"/>
        <v>4.1071236324138631</v>
      </c>
      <c r="BB968" s="7">
        <f t="shared" si="193"/>
        <v>-0.47337958242121742</v>
      </c>
      <c r="BC968" s="7">
        <f t="shared" si="194"/>
        <v>1.2574128769171595</v>
      </c>
      <c r="BF968" s="7">
        <f t="shared" si="195"/>
        <v>-1.5563739468527136</v>
      </c>
      <c r="BG968" s="7">
        <f t="shared" si="196"/>
        <v>4.3371577014424361</v>
      </c>
      <c r="BI968" s="10">
        <f t="shared" si="197"/>
        <v>-3.1035478428464041</v>
      </c>
      <c r="BJ968">
        <f t="shared" si="198"/>
        <v>9.7016942107734589</v>
      </c>
    </row>
    <row r="969" spans="42:62" x14ac:dyDescent="0.25">
      <c r="AP969" s="1">
        <v>964</v>
      </c>
      <c r="AQ969" s="7">
        <f t="shared" si="187"/>
        <v>109075.03418776288</v>
      </c>
      <c r="AR969" s="7">
        <f t="shared" si="188"/>
        <v>-332330.99859409849</v>
      </c>
      <c r="AS969" s="7"/>
      <c r="AT969" s="7">
        <f t="shared" si="189"/>
        <v>590.19523772119589</v>
      </c>
      <c r="AU969" s="7">
        <f t="shared" si="190"/>
        <v>-519.11138839138778</v>
      </c>
      <c r="AV969" s="7"/>
      <c r="AX969" s="7">
        <f t="shared" si="191"/>
        <v>-1.0743641158921282</v>
      </c>
      <c r="AY969" s="7">
        <f t="shared" si="192"/>
        <v>4.09881661777061</v>
      </c>
      <c r="BB969" s="7">
        <f t="shared" si="193"/>
        <v>-0.47311282807900268</v>
      </c>
      <c r="BC969" s="7">
        <f t="shared" si="194"/>
        <v>1.2547832189481454</v>
      </c>
      <c r="BF969" s="7">
        <f t="shared" si="195"/>
        <v>-1.555631439000585</v>
      </c>
      <c r="BG969" s="7">
        <f t="shared" si="196"/>
        <v>4.3274155602697606</v>
      </c>
      <c r="BI969" s="10">
        <f t="shared" si="197"/>
        <v>-3.1031083829717154</v>
      </c>
      <c r="BJ969">
        <f t="shared" si="198"/>
        <v>9.6810153969885171</v>
      </c>
    </row>
    <row r="970" spans="42:62" x14ac:dyDescent="0.25">
      <c r="AP970" s="1">
        <v>965</v>
      </c>
      <c r="AQ970" s="7">
        <f t="shared" si="187"/>
        <v>109369.7439180756</v>
      </c>
      <c r="AR970" s="7">
        <f t="shared" si="188"/>
        <v>-332589.34416136955</v>
      </c>
      <c r="AS970" s="7"/>
      <c r="AT970" s="7">
        <f t="shared" si="189"/>
        <v>588.64368352971007</v>
      </c>
      <c r="AU970" s="7">
        <f t="shared" si="190"/>
        <v>-514.27088069289357</v>
      </c>
      <c r="AV970" s="7"/>
      <c r="AX970" s="7">
        <f t="shared" si="191"/>
        <v>-1.0749378690598459</v>
      </c>
      <c r="AY970" s="7">
        <f t="shared" si="192"/>
        <v>4.0905892629378258</v>
      </c>
      <c r="BB970" s="7">
        <f t="shared" si="193"/>
        <v>-0.47285167182425814</v>
      </c>
      <c r="BC970" s="7">
        <f t="shared" si="194"/>
        <v>1.2521779763161909</v>
      </c>
      <c r="BF970" s="7">
        <f t="shared" si="195"/>
        <v>-1.554906810178897</v>
      </c>
      <c r="BG970" s="7">
        <f t="shared" si="196"/>
        <v>4.3177663703653426</v>
      </c>
      <c r="BI970" s="10">
        <f t="shared" si="197"/>
        <v>-3.1026963510630008</v>
      </c>
      <c r="BJ970">
        <f t="shared" si="198"/>
        <v>9.6605336096193604</v>
      </c>
    </row>
    <row r="971" spans="42:62" x14ac:dyDescent="0.25">
      <c r="AP971" s="1">
        <v>966</v>
      </c>
      <c r="AQ971" s="7">
        <f t="shared" si="187"/>
        <v>109663.67792279659</v>
      </c>
      <c r="AR971" s="7">
        <f t="shared" si="188"/>
        <v>-332845.27203501476</v>
      </c>
      <c r="AS971" s="7"/>
      <c r="AT971" s="7">
        <f t="shared" si="189"/>
        <v>587.09233535417854</v>
      </c>
      <c r="AU971" s="7">
        <f t="shared" si="190"/>
        <v>-509.44061388808387</v>
      </c>
      <c r="AV971" s="7"/>
      <c r="AX971" s="7">
        <f t="shared" si="191"/>
        <v>-1.0755156444804927</v>
      </c>
      <c r="AY971" s="7">
        <f t="shared" si="192"/>
        <v>4.0824408844103619</v>
      </c>
      <c r="BB971" s="7">
        <f t="shared" si="193"/>
        <v>-0.47259608785109353</v>
      </c>
      <c r="BC971" s="7">
        <f t="shared" si="194"/>
        <v>1.2495969333714645</v>
      </c>
      <c r="BF971" s="7">
        <f t="shared" si="195"/>
        <v>-1.5541999953613528</v>
      </c>
      <c r="BG971" s="7">
        <f t="shared" si="196"/>
        <v>4.308209271422955</v>
      </c>
      <c r="BI971" s="10">
        <f t="shared" si="197"/>
        <v>-3.1023117276929391</v>
      </c>
      <c r="BJ971">
        <f t="shared" si="198"/>
        <v>9.6402470892047809</v>
      </c>
    </row>
    <row r="972" spans="42:62" x14ac:dyDescent="0.25">
      <c r="AP972" s="1">
        <v>967</v>
      </c>
      <c r="AQ972" s="7">
        <f t="shared" si="187"/>
        <v>109956.83630150772</v>
      </c>
      <c r="AR972" s="7">
        <f t="shared" si="188"/>
        <v>-333098.78731107264</v>
      </c>
      <c r="AS972" s="7"/>
      <c r="AT972" s="7">
        <f t="shared" si="189"/>
        <v>585.54117949033207</v>
      </c>
      <c r="AU972" s="7">
        <f t="shared" si="190"/>
        <v>-504.62049034348149</v>
      </c>
      <c r="AV972" s="7"/>
      <c r="AX972" s="7">
        <f t="shared" si="191"/>
        <v>-1.0760975126619579</v>
      </c>
      <c r="AY972" s="7">
        <f t="shared" si="192"/>
        <v>4.0743708083804799</v>
      </c>
      <c r="BB972" s="7">
        <f t="shared" si="193"/>
        <v>-0.47234605080481679</v>
      </c>
      <c r="BC972" s="7">
        <f t="shared" si="194"/>
        <v>1.2470398775045186</v>
      </c>
      <c r="BF972" s="7">
        <f t="shared" si="195"/>
        <v>-1.5535109307071533</v>
      </c>
      <c r="BG972" s="7">
        <f t="shared" si="196"/>
        <v>4.2987434156272091</v>
      </c>
      <c r="BI972" s="10">
        <f t="shared" si="197"/>
        <v>-3.1019544941739277</v>
      </c>
      <c r="BJ972">
        <f t="shared" si="198"/>
        <v>9.6201541015122078</v>
      </c>
    </row>
    <row r="973" spans="42:62" x14ac:dyDescent="0.25">
      <c r="AP973" s="1">
        <v>968</v>
      </c>
      <c r="AQ973" s="7">
        <f t="shared" si="187"/>
        <v>110249.21914694112</v>
      </c>
      <c r="AR973" s="7">
        <f t="shared" si="188"/>
        <v>-333349.89503698167</v>
      </c>
      <c r="AS973" s="7"/>
      <c r="AT973" s="7">
        <f t="shared" si="189"/>
        <v>583.99020224324511</v>
      </c>
      <c r="AU973" s="7">
        <f t="shared" si="190"/>
        <v>-499.8104132927254</v>
      </c>
      <c r="AV973" s="7"/>
      <c r="AX973" s="7">
        <f t="shared" si="191"/>
        <v>-1.0766835432405377</v>
      </c>
      <c r="AY973" s="7">
        <f t="shared" si="192"/>
        <v>4.0663783705880565</v>
      </c>
      <c r="BB973" s="7">
        <f t="shared" si="193"/>
        <v>-0.47210153577683517</v>
      </c>
      <c r="BC973" s="7">
        <f t="shared" si="194"/>
        <v>1.2445065990983408</v>
      </c>
      <c r="BF973" s="7">
        <f t="shared" si="195"/>
        <v>-1.552839553551755</v>
      </c>
      <c r="BG973" s="7">
        <f t="shared" si="196"/>
        <v>4.289367967449655</v>
      </c>
      <c r="BI973" s="10">
        <f t="shared" si="197"/>
        <v>-3.1016246325691279</v>
      </c>
      <c r="BJ973">
        <f t="shared" si="198"/>
        <v>9.6002529371360517</v>
      </c>
    </row>
    <row r="974" spans="42:62" x14ac:dyDescent="0.25">
      <c r="AP974" s="1">
        <v>969</v>
      </c>
      <c r="AQ974" s="7">
        <f t="shared" si="187"/>
        <v>110540.82654498366</v>
      </c>
      <c r="AR974" s="7">
        <f t="shared" si="188"/>
        <v>-333598.6002120109</v>
      </c>
      <c r="AS974" s="7"/>
      <c r="AT974" s="7">
        <f t="shared" si="189"/>
        <v>582.43938992696053</v>
      </c>
      <c r="AU974" s="7">
        <f t="shared" si="190"/>
        <v>-495.01028682415739</v>
      </c>
      <c r="AV974" s="7"/>
      <c r="AX974" s="7">
        <f t="shared" si="191"/>
        <v>-1.0772738050057928</v>
      </c>
      <c r="AY974" s="7">
        <f t="shared" si="192"/>
        <v>4.0584629161738235</v>
      </c>
      <c r="BB974" s="7">
        <f t="shared" si="193"/>
        <v>-0.4718625182996492</v>
      </c>
      <c r="BC974" s="7">
        <f t="shared" si="194"/>
        <v>1.2419968914813351</v>
      </c>
      <c r="BF974" s="7">
        <f t="shared" si="195"/>
        <v>-1.5521858023977673</v>
      </c>
      <c r="BG974" s="7">
        <f t="shared" si="196"/>
        <v>4.2800821034489651</v>
      </c>
      <c r="BI974" s="10">
        <f t="shared" si="197"/>
        <v>-3.1013221257032093</v>
      </c>
      <c r="BJ974">
        <f t="shared" si="198"/>
        <v>9.5805419111041239</v>
      </c>
    </row>
    <row r="975" spans="42:62" x14ac:dyDescent="0.25">
      <c r="AP975" s="1">
        <v>970</v>
      </c>
      <c r="AQ975" s="7">
        <f t="shared" si="187"/>
        <v>110831.65857468142</v>
      </c>
      <c r="AR975" s="7">
        <f t="shared" si="188"/>
        <v>-333844.90778768412</v>
      </c>
      <c r="AS975" s="7"/>
      <c r="AT975" s="7">
        <f t="shared" si="189"/>
        <v>580.88872886410888</v>
      </c>
      <c r="AU975" s="7">
        <f t="shared" si="190"/>
        <v>-490.22001586860534</v>
      </c>
      <c r="AV975" s="7"/>
      <c r="AX975" s="7">
        <f t="shared" si="191"/>
        <v>-1.0778683659247883</v>
      </c>
      <c r="AY975" s="7">
        <f t="shared" si="192"/>
        <v>4.0506237995351828</v>
      </c>
      <c r="BB975" s="7">
        <f t="shared" si="193"/>
        <v>-0.47162897434196999</v>
      </c>
      <c r="BC975" s="7">
        <f t="shared" si="194"/>
        <v>1.2395105508812785</v>
      </c>
      <c r="BF975" s="7">
        <f t="shared" si="195"/>
        <v>-1.5515496169060874</v>
      </c>
      <c r="BG975" s="7">
        <f t="shared" si="196"/>
        <v>4.2708850120753672</v>
      </c>
      <c r="BI975" s="10">
        <f t="shared" si="197"/>
        <v>-3.1010469571728456</v>
      </c>
      <c r="BJ975">
        <f t="shared" si="198"/>
        <v>9.5610193624918285</v>
      </c>
    </row>
    <row r="976" spans="42:62" x14ac:dyDescent="0.25">
      <c r="AP976" s="1">
        <v>971</v>
      </c>
      <c r="AQ976" s="7">
        <f t="shared" si="187"/>
        <v>111121.71530824383</v>
      </c>
      <c r="AR976" s="7">
        <f t="shared" si="188"/>
        <v>-334088.82266819815</v>
      </c>
      <c r="AS976" s="7"/>
      <c r="AT976" s="7">
        <f t="shared" si="189"/>
        <v>579.33820538552243</v>
      </c>
      <c r="AU976" s="7">
        <f t="shared" si="190"/>
        <v>-485.43950618735943</v>
      </c>
      <c r="AV976" s="7"/>
      <c r="AX976" s="7">
        <f t="shared" si="191"/>
        <v>-1.0784672931659245</v>
      </c>
      <c r="AY976" s="7">
        <f t="shared" si="192"/>
        <v>4.0428603841852615</v>
      </c>
      <c r="BB976" s="7">
        <f t="shared" si="193"/>
        <v>-0.47140088030389909</v>
      </c>
      <c r="BC976" s="7">
        <f t="shared" si="194"/>
        <v>1.2370473763800955</v>
      </c>
      <c r="BF976" s="7">
        <f t="shared" si="195"/>
        <v>-1.5509309378870042</v>
      </c>
      <c r="BG976" s="7">
        <f t="shared" si="196"/>
        <v>4.2617758934785144</v>
      </c>
      <c r="BI976" s="10">
        <f t="shared" si="197"/>
        <v>-3.1007991113568281</v>
      </c>
      <c r="BJ976">
        <f t="shared" si="198"/>
        <v>9.5416836540438723</v>
      </c>
    </row>
    <row r="977" spans="42:62" x14ac:dyDescent="0.25">
      <c r="AP977" s="1">
        <v>972</v>
      </c>
      <c r="AQ977" s="7">
        <f t="shared" si="187"/>
        <v>111410.99681104768</v>
      </c>
      <c r="AR977" s="7">
        <f t="shared" si="188"/>
        <v>-334330.34971083509</v>
      </c>
      <c r="AS977" s="7"/>
      <c r="AT977" s="7">
        <f t="shared" si="189"/>
        <v>577.78780582984405</v>
      </c>
      <c r="AU977" s="7">
        <f t="shared" si="190"/>
        <v>-480.66866436033752</v>
      </c>
      <c r="AV977" s="7"/>
      <c r="AX977" s="7">
        <f t="shared" si="191"/>
        <v>-1.0790706531221983</v>
      </c>
      <c r="AY977" s="7">
        <f t="shared" si="192"/>
        <v>4.0351720426144722</v>
      </c>
      <c r="BB977" s="7">
        <f t="shared" si="193"/>
        <v>-0.47117821301223833</v>
      </c>
      <c r="BC977" s="7">
        <f t="shared" si="194"/>
        <v>1.2346071698695984</v>
      </c>
      <c r="BF977" s="7">
        <f t="shared" si="195"/>
        <v>-1.5503297072916249</v>
      </c>
      <c r="BG977" s="7">
        <f t="shared" si="196"/>
        <v>4.2527539593196586</v>
      </c>
      <c r="BI977" s="10">
        <f t="shared" si="197"/>
        <v>-3.1005785734260614</v>
      </c>
      <c r="BJ977">
        <f t="shared" si="198"/>
        <v>9.5225331718037296</v>
      </c>
    </row>
    <row r="978" spans="42:62" x14ac:dyDescent="0.25">
      <c r="AP978" s="1">
        <v>973</v>
      </c>
      <c r="AQ978" s="7">
        <f t="shared" si="187"/>
        <v>111699.50314164092</v>
      </c>
      <c r="AR978" s="7">
        <f t="shared" si="188"/>
        <v>-334569.49372636876</v>
      </c>
      <c r="AS978" s="7"/>
      <c r="AT978" s="7">
        <f t="shared" si="189"/>
        <v>576.23751654313105</v>
      </c>
      <c r="AU978" s="7">
        <f t="shared" si="190"/>
        <v>-475.90739777443565</v>
      </c>
      <c r="AV978" s="7"/>
      <c r="AX978" s="7">
        <f t="shared" si="191"/>
        <v>-1.0796785114338847</v>
      </c>
      <c r="AY978" s="7">
        <f t="shared" si="192"/>
        <v>4.0275581561544707</v>
      </c>
      <c r="BB978" s="7">
        <f t="shared" si="193"/>
        <v>-0.470960949715866</v>
      </c>
      <c r="BC978" s="7">
        <f t="shared" si="194"/>
        <v>1.2321897360080187</v>
      </c>
      <c r="BF978" s="7">
        <f t="shared" si="195"/>
        <v>-1.5497458682034071</v>
      </c>
      <c r="BG978" s="7">
        <f t="shared" si="196"/>
        <v>4.2438184325874655</v>
      </c>
      <c r="BI978" s="10">
        <f t="shared" si="197"/>
        <v>-3.1003853293531582</v>
      </c>
      <c r="BJ978">
        <f t="shared" si="198"/>
        <v>9.5035663247499542</v>
      </c>
    </row>
    <row r="979" spans="42:62" x14ac:dyDescent="0.25">
      <c r="AP979" s="1">
        <v>974</v>
      </c>
      <c r="AQ979" s="7">
        <f t="shared" si="187"/>
        <v>111987.23435174632</v>
      </c>
      <c r="AR979" s="7">
        <f t="shared" si="188"/>
        <v>-334806.25947946537</v>
      </c>
      <c r="AS979" s="7"/>
      <c r="AT979" s="7">
        <f t="shared" si="189"/>
        <v>574.68732387845444</v>
      </c>
      <c r="AU979" s="7">
        <f t="shared" si="190"/>
        <v>-471.15561461206067</v>
      </c>
      <c r="AV979" s="7"/>
      <c r="AX979" s="7">
        <f t="shared" si="191"/>
        <v>-1.0802909330109187</v>
      </c>
      <c r="AY979" s="7">
        <f t="shared" si="192"/>
        <v>4.0200181148454002</v>
      </c>
      <c r="BB979" s="7">
        <f t="shared" si="193"/>
        <v>-0.47074906808122846</v>
      </c>
      <c r="BC979" s="7">
        <f t="shared" si="194"/>
        <v>1.2297948821774438</v>
      </c>
      <c r="BF979" s="7">
        <f t="shared" si="195"/>
        <v>-1.5491793648297931</v>
      </c>
      <c r="BG979" s="7">
        <f t="shared" si="196"/>
        <v>4.2349685474173659</v>
      </c>
      <c r="BI979" s="10">
        <f t="shared" si="197"/>
        <v>-3.1002193659219399</v>
      </c>
      <c r="BJ979">
        <f t="shared" si="198"/>
        <v>9.4847815444402102</v>
      </c>
    </row>
    <row r="980" spans="42:62" x14ac:dyDescent="0.25">
      <c r="AP980" s="1">
        <v>975</v>
      </c>
      <c r="AQ980" s="7">
        <f t="shared" si="187"/>
        <v>112274.19048626481</v>
      </c>
      <c r="AR980" s="7">
        <f t="shared" si="188"/>
        <v>-335040.65168907831</v>
      </c>
      <c r="AS980" s="7"/>
      <c r="AT980" s="7">
        <f t="shared" si="189"/>
        <v>573.13721419549347</v>
      </c>
      <c r="AU980" s="7">
        <f t="shared" si="190"/>
        <v>-466.41322383984055</v>
      </c>
      <c r="AV980" s="7"/>
      <c r="AX980" s="7">
        <f t="shared" si="191"/>
        <v>-1.0809079820546412</v>
      </c>
      <c r="AY980" s="7">
        <f t="shared" si="192"/>
        <v>4.0125513173050971</v>
      </c>
      <c r="BB980" s="7">
        <f t="shared" si="193"/>
        <v>-0.47054254618790237</v>
      </c>
      <c r="BC980" s="7">
        <f t="shared" si="194"/>
        <v>1.2274224184420235</v>
      </c>
      <c r="BF980" s="7">
        <f t="shared" si="195"/>
        <v>-1.5486301424940574</v>
      </c>
      <c r="BG980" s="7">
        <f t="shared" si="196"/>
        <v>4.2262035489146781</v>
      </c>
      <c r="BI980" s="10">
        <f t="shared" si="197"/>
        <v>-3.1000806707366007</v>
      </c>
      <c r="BJ980">
        <f t="shared" si="198"/>
        <v>9.4661772846618</v>
      </c>
    </row>
    <row r="981" spans="42:62" x14ac:dyDescent="0.25">
      <c r="AP981" s="1">
        <v>976</v>
      </c>
      <c r="AQ981" s="7">
        <f t="shared" si="187"/>
        <v>112560.37158327871</v>
      </c>
      <c r="AR981" s="7">
        <f t="shared" si="188"/>
        <v>-335272.67502883764</v>
      </c>
      <c r="AS981" s="7"/>
      <c r="AT981" s="7">
        <f t="shared" si="189"/>
        <v>571.58717386012518</v>
      </c>
      <c r="AU981" s="7">
        <f t="shared" si="190"/>
        <v>-461.68013519750963</v>
      </c>
      <c r="AV981" s="7"/>
      <c r="AX981" s="7">
        <f t="shared" si="191"/>
        <v>-1.0815297220791473</v>
      </c>
      <c r="AY981" s="7">
        <f t="shared" si="192"/>
        <v>4.0051571706010307</v>
      </c>
      <c r="BB981" s="7">
        <f t="shared" si="193"/>
        <v>-0.47034136252425984</v>
      </c>
      <c r="BC981" s="7">
        <f t="shared" si="194"/>
        <v>1.2250721575070198</v>
      </c>
      <c r="BF981" s="7">
        <f t="shared" si="195"/>
        <v>-1.5480981476272599</v>
      </c>
      <c r="BG981" s="7">
        <f t="shared" si="196"/>
        <v>4.2175226929811211</v>
      </c>
      <c r="BI981" s="10">
        <f t="shared" si="197"/>
        <v>-3.0999692322306673</v>
      </c>
      <c r="BJ981">
        <f t="shared" si="198"/>
        <v>9.4477520210891726</v>
      </c>
    </row>
    <row r="982" spans="42:62" x14ac:dyDescent="0.25">
      <c r="AP982" s="1">
        <v>977</v>
      </c>
      <c r="AQ982" s="7">
        <f t="shared" si="187"/>
        <v>112845.77767405474</v>
      </c>
      <c r="AR982" s="7">
        <f t="shared" si="188"/>
        <v>-335502.33412743371</v>
      </c>
      <c r="AS982" s="7"/>
      <c r="AT982" s="7">
        <f t="shared" si="189"/>
        <v>570.03718924400982</v>
      </c>
      <c r="AU982" s="7">
        <f t="shared" si="190"/>
        <v>-456.95625918696504</v>
      </c>
      <c r="AV982" s="7"/>
      <c r="AX982" s="7">
        <f t="shared" si="191"/>
        <v>-1.0821562159322304</v>
      </c>
      <c r="AY982" s="7">
        <f t="shared" si="192"/>
        <v>3.9978350901248483</v>
      </c>
      <c r="BB982" s="7">
        <f t="shared" si="193"/>
        <v>-0.47014549598322292</v>
      </c>
      <c r="BC982" s="7">
        <f t="shared" si="194"/>
        <v>1.2227439146786518</v>
      </c>
      <c r="BF982" s="7">
        <f t="shared" si="195"/>
        <v>-1.5475833277603868</v>
      </c>
      <c r="BG982" s="7">
        <f t="shared" si="196"/>
        <v>4.2089252461448767</v>
      </c>
      <c r="BI982" s="10">
        <f t="shared" si="197"/>
        <v>-3.0998850396758399</v>
      </c>
      <c r="BJ982">
        <f t="shared" si="198"/>
        <v>9.4295042509483764</v>
      </c>
    </row>
    <row r="983" spans="42:62" x14ac:dyDescent="0.25">
      <c r="AP983" s="1">
        <v>978</v>
      </c>
      <c r="AQ983" s="7">
        <f t="shared" si="187"/>
        <v>113130.40878304678</v>
      </c>
      <c r="AR983" s="7">
        <f t="shared" si="188"/>
        <v>-335729.63356899581</v>
      </c>
      <c r="AS983" s="7"/>
      <c r="AT983" s="7">
        <f t="shared" si="189"/>
        <v>568.48724672417188</v>
      </c>
      <c r="AU983" s="7">
        <f t="shared" si="190"/>
        <v>-452.24150706149084</v>
      </c>
      <c r="AV983" s="7"/>
      <c r="AX983" s="7">
        <f t="shared" si="191"/>
        <v>-1.0827875258157911</v>
      </c>
      <c r="AY983" s="7">
        <f t="shared" si="192"/>
        <v>3.9905844994689512</v>
      </c>
      <c r="BB983" s="7">
        <f t="shared" si="193"/>
        <v>-0.46995492585808701</v>
      </c>
      <c r="BC983" s="7">
        <f t="shared" si="194"/>
        <v>1.220437507824669</v>
      </c>
      <c r="BF983" s="7">
        <f t="shared" si="195"/>
        <v>-1.5470856315165857</v>
      </c>
      <c r="BG983" s="7">
        <f t="shared" si="196"/>
        <v>4.2004104853938635</v>
      </c>
      <c r="BI983" s="10">
        <f t="shared" si="197"/>
        <v>-3.0998280831904639</v>
      </c>
      <c r="BJ983">
        <f t="shared" si="198"/>
        <v>9.4114324926874833</v>
      </c>
    </row>
    <row r="984" spans="42:62" x14ac:dyDescent="0.25">
      <c r="AP984" s="1">
        <v>979</v>
      </c>
      <c r="AQ984" s="7">
        <f t="shared" si="187"/>
        <v>113414.26492789846</v>
      </c>
      <c r="AR984" s="7">
        <f t="shared" si="188"/>
        <v>-335954.577893465</v>
      </c>
      <c r="AS984" s="7"/>
      <c r="AT984" s="7">
        <f t="shared" si="189"/>
        <v>566.93733268257665</v>
      </c>
      <c r="AU984" s="7">
        <f t="shared" si="190"/>
        <v>-447.5357908151471</v>
      </c>
      <c r="AV984" s="7"/>
      <c r="AX984" s="7">
        <f t="shared" si="191"/>
        <v>-1.0834237133059577</v>
      </c>
      <c r="AY984" s="7">
        <f t="shared" si="192"/>
        <v>3.9834048303059255</v>
      </c>
      <c r="BB984" s="7">
        <f t="shared" si="193"/>
        <v>-0.46976963183843889</v>
      </c>
      <c r="BC984" s="7">
        <f t="shared" si="194"/>
        <v>1.2181527573357036</v>
      </c>
      <c r="BF984" s="7">
        <f t="shared" si="195"/>
        <v>-1.5466050086036036</v>
      </c>
      <c r="BG984" s="7">
        <f t="shared" si="196"/>
        <v>4.1919776980124519</v>
      </c>
      <c r="BI984" s="10">
        <f t="shared" si="197"/>
        <v>-3.0997983537480001</v>
      </c>
      <c r="BJ984">
        <f t="shared" si="198"/>
        <v>9.3935352856540817</v>
      </c>
    </row>
    <row r="985" spans="42:62" x14ac:dyDescent="0.25">
      <c r="AP985" s="1">
        <v>980</v>
      </c>
      <c r="AQ985" s="7">
        <f t="shared" si="187"/>
        <v>113697.34611944553</v>
      </c>
      <c r="AR985" s="7">
        <f t="shared" si="188"/>
        <v>-336177.17159696185</v>
      </c>
      <c r="AS985" s="7"/>
      <c r="AT985" s="7">
        <f t="shared" si="189"/>
        <v>565.38743350570269</v>
      </c>
      <c r="AU985" s="7">
        <f t="shared" si="190"/>
        <v>-442.83902317232003</v>
      </c>
      <c r="AV985" s="7"/>
      <c r="AX985" s="7">
        <f t="shared" si="191"/>
        <v>-1.0840648393726462</v>
      </c>
      <c r="AY985" s="7">
        <f t="shared" si="192"/>
        <v>3.9762955222697034</v>
      </c>
      <c r="BB985" s="7">
        <f t="shared" si="193"/>
        <v>-0.46958959400617301</v>
      </c>
      <c r="BC985" s="7">
        <f t="shared" si="194"/>
        <v>1.2158894860874054</v>
      </c>
      <c r="BF985" s="7">
        <f t="shared" si="195"/>
        <v>-1.54614140980632</v>
      </c>
      <c r="BG985" s="7">
        <f t="shared" si="196"/>
        <v>4.1836261814212552</v>
      </c>
      <c r="BI985" s="10">
        <f t="shared" si="197"/>
        <v>-3.0997958431851393</v>
      </c>
      <c r="BJ985">
        <f t="shared" si="198"/>
        <v>9.3758111897783643</v>
      </c>
    </row>
    <row r="986" spans="42:62" x14ac:dyDescent="0.25">
      <c r="AP986" s="1">
        <v>981</v>
      </c>
      <c r="AQ986" s="7">
        <f t="shared" si="187"/>
        <v>113979.65236171798</v>
      </c>
      <c r="AR986" s="7">
        <f t="shared" si="188"/>
        <v>-336397.41913214925</v>
      </c>
      <c r="AS986" s="7"/>
      <c r="AT986" s="7">
        <f t="shared" si="189"/>
        <v>563.83753558411013</v>
      </c>
      <c r="AU986" s="7">
        <f t="shared" si="190"/>
        <v>-438.15111757743085</v>
      </c>
      <c r="AV986" s="7"/>
      <c r="AX986" s="7">
        <f t="shared" si="191"/>
        <v>-1.084710964398852</v>
      </c>
      <c r="AY986" s="7">
        <f t="shared" si="192"/>
        <v>3.969256022839482</v>
      </c>
      <c r="BB986" s="7">
        <f t="shared" si="193"/>
        <v>-0.46941479283156878</v>
      </c>
      <c r="BC986" s="7">
        <f t="shared" si="194"/>
        <v>1.2136475194032437</v>
      </c>
      <c r="BF986" s="7">
        <f t="shared" si="195"/>
        <v>-1.5456947869794766</v>
      </c>
      <c r="BG986" s="7">
        <f t="shared" si="196"/>
        <v>4.175355243020209</v>
      </c>
      <c r="BI986" s="10">
        <f t="shared" si="197"/>
        <v>-3.0998205442098969</v>
      </c>
      <c r="BJ986">
        <f t="shared" si="198"/>
        <v>9.3582587852629349</v>
      </c>
    </row>
    <row r="987" spans="42:62" x14ac:dyDescent="0.25">
      <c r="AP987" s="1">
        <v>982</v>
      </c>
      <c r="AQ987" s="7">
        <f t="shared" si="187"/>
        <v>114261.183651942</v>
      </c>
      <c r="AR987" s="7">
        <f t="shared" si="188"/>
        <v>-336615.32490858983</v>
      </c>
      <c r="AS987" s="7"/>
      <c r="AT987" s="7">
        <f t="shared" si="189"/>
        <v>562.28762531200516</v>
      </c>
      <c r="AU987" s="7">
        <f t="shared" si="190"/>
        <v>-433.47198818479939</v>
      </c>
      <c r="AV987" s="7"/>
      <c r="AX987" s="7">
        <f t="shared" si="191"/>
        <v>-1.0853621481994917</v>
      </c>
      <c r="AY987" s="7">
        <f t="shared" si="192"/>
        <v>3.9622857872256132</v>
      </c>
      <c r="BB987" s="7">
        <f t="shared" si="193"/>
        <v>-0.46924520916944307</v>
      </c>
      <c r="BC987" s="7">
        <f t="shared" si="194"/>
        <v>1.2114266850180053</v>
      </c>
      <c r="BF987" s="7">
        <f t="shared" si="195"/>
        <v>-1.5452650930404783</v>
      </c>
      <c r="BG987" s="7">
        <f t="shared" si="196"/>
        <v>4.1671642000345264</v>
      </c>
      <c r="BI987" s="10">
        <f t="shared" si="197"/>
        <v>-3.0998724504094133</v>
      </c>
      <c r="BJ987">
        <f t="shared" si="198"/>
        <v>9.3408766722781458</v>
      </c>
    </row>
    <row r="988" spans="42:62" x14ac:dyDescent="0.25">
      <c r="AP988" s="1">
        <v>983</v>
      </c>
      <c r="AQ988" s="7">
        <f t="shared" si="187"/>
        <v>114541.93998054171</v>
      </c>
      <c r="AR988" s="7">
        <f t="shared" si="188"/>
        <v>-336830.8932930982</v>
      </c>
      <c r="AS988" s="7"/>
      <c r="AT988" s="7">
        <f t="shared" si="189"/>
        <v>560.7376890868004</v>
      </c>
      <c r="AU988" s="7">
        <f t="shared" si="190"/>
        <v>-428.80154984866033</v>
      </c>
      <c r="AV988" s="7"/>
      <c r="AX988" s="7">
        <f t="shared" si="191"/>
        <v>-1.0860184500398447</v>
      </c>
      <c r="AY988" s="7">
        <f t="shared" si="192"/>
        <v>3.9553842782575721</v>
      </c>
      <c r="BB988" s="7">
        <f t="shared" si="193"/>
        <v>-0.46908082425541325</v>
      </c>
      <c r="BC988" s="7">
        <f t="shared" si="194"/>
        <v>1.2092268130420689</v>
      </c>
      <c r="BF988" s="7">
        <f t="shared" si="195"/>
        <v>-1.5448522819624186</v>
      </c>
      <c r="BG988" s="7">
        <f t="shared" si="196"/>
        <v>4.1590523793638825</v>
      </c>
      <c r="BI988" s="10">
        <f t="shared" si="197"/>
        <v>-3.0999515562576767</v>
      </c>
      <c r="BJ988">
        <f t="shared" si="198"/>
        <v>9.323663470663524</v>
      </c>
    </row>
    <row r="989" spans="42:62" x14ac:dyDescent="0.25">
      <c r="AP989" s="1">
        <v>984</v>
      </c>
      <c r="AQ989" s="7">
        <f t="shared" si="187"/>
        <v>114821.92133114056</v>
      </c>
      <c r="AR989" s="7">
        <f t="shared" si="188"/>
        <v>-337044.12861008866</v>
      </c>
      <c r="AS989" s="7"/>
      <c r="AT989" s="7">
        <f t="shared" si="189"/>
        <v>559.18771330867162</v>
      </c>
      <c r="AU989" s="7">
        <f t="shared" si="190"/>
        <v>-424.13971811332857</v>
      </c>
      <c r="AV989" s="7"/>
      <c r="AX989" s="7">
        <f t="shared" si="191"/>
        <v>-1.0866799286537157</v>
      </c>
      <c r="AY989" s="7">
        <f t="shared" si="192"/>
        <v>3.9485509662743756</v>
      </c>
      <c r="BB989" s="7">
        <f t="shared" si="193"/>
        <v>-0.46892161970219659</v>
      </c>
      <c r="BC989" s="7">
        <f t="shared" si="194"/>
        <v>1.2070477359262501</v>
      </c>
      <c r="BF989" s="7">
        <f t="shared" si="195"/>
        <v>-1.5444563087671561</v>
      </c>
      <c r="BG989" s="7">
        <f t="shared" si="196"/>
        <v>4.1510191174342967</v>
      </c>
      <c r="BI989" s="10">
        <f t="shared" si="197"/>
        <v>-3.1000578571230681</v>
      </c>
      <c r="BJ989">
        <f t="shared" si="198"/>
        <v>9.3066178196349227</v>
      </c>
    </row>
    <row r="990" spans="42:62" x14ac:dyDescent="0.25">
      <c r="AP990" s="1">
        <v>985</v>
      </c>
      <c r="AQ990" s="7">
        <f t="shared" si="187"/>
        <v>115101.12768056276</v>
      </c>
      <c r="AR990" s="7">
        <f t="shared" si="188"/>
        <v>-337255.03514191788</v>
      </c>
      <c r="AS990" s="7"/>
      <c r="AT990" s="7">
        <f t="shared" si="189"/>
        <v>557.63768438011004</v>
      </c>
      <c r="AU990" s="7">
        <f t="shared" si="190"/>
        <v>-419.48640920351113</v>
      </c>
      <c r="AV990" s="7"/>
      <c r="AX990" s="7">
        <f t="shared" si="191"/>
        <v>-1.0873466422611122</v>
      </c>
      <c r="AY990" s="7">
        <f t="shared" si="192"/>
        <v>3.941785329016593</v>
      </c>
      <c r="BB990" s="7">
        <f t="shared" si="193"/>
        <v>-0.46876757749602643</v>
      </c>
      <c r="BC990" s="7">
        <f t="shared" si="194"/>
        <v>1.2048892884274134</v>
      </c>
      <c r="BF990" s="7">
        <f t="shared" si="195"/>
        <v>-1.5440771295186191</v>
      </c>
      <c r="BG990" s="7">
        <f t="shared" si="196"/>
        <v>4.1430637600531375</v>
      </c>
      <c r="BI990" s="10">
        <f t="shared" si="197"/>
        <v>-3.1001913492757573</v>
      </c>
      <c r="BJ990">
        <f t="shared" si="198"/>
        <v>9.2897383774971445</v>
      </c>
    </row>
    <row r="991" spans="42:62" x14ac:dyDescent="0.25">
      <c r="AP991" s="1">
        <v>986</v>
      </c>
      <c r="AQ991" s="7">
        <f t="shared" si="187"/>
        <v>115379.55899883415</v>
      </c>
      <c r="AR991" s="7">
        <f t="shared" si="188"/>
        <v>-337463.61712922243</v>
      </c>
      <c r="AS991" s="7"/>
      <c r="AT991" s="7">
        <f t="shared" si="189"/>
        <v>556.08758870547217</v>
      </c>
      <c r="AU991" s="7">
        <f t="shared" si="190"/>
        <v>-414.84154001476259</v>
      </c>
      <c r="AV991" s="7"/>
      <c r="AX991" s="7">
        <f t="shared" si="191"/>
        <v>-1.0880186485856924</v>
      </c>
      <c r="AY991" s="7">
        <f t="shared" si="192"/>
        <v>3.9350868515208433</v>
      </c>
      <c r="BB991" s="7">
        <f t="shared" si="193"/>
        <v>-0.46861867999311096</v>
      </c>
      <c r="BC991" s="7">
        <f t="shared" si="194"/>
        <v>1.2027513075746548</v>
      </c>
      <c r="BF991" s="7">
        <f t="shared" si="195"/>
        <v>-1.5437147013161867</v>
      </c>
      <c r="BG991" s="7">
        <f t="shared" si="196"/>
        <v>4.1351856622667622</v>
      </c>
      <c r="BI991" s="10">
        <f t="shared" si="197"/>
        <v>-3.1003520298949905</v>
      </c>
      <c r="BJ991">
        <f t="shared" si="198"/>
        <v>9.2730238213622602</v>
      </c>
    </row>
    <row r="992" spans="42:62" x14ac:dyDescent="0.25">
      <c r="AP992" s="1">
        <v>987</v>
      </c>
      <c r="AQ992" s="7">
        <f t="shared" si="187"/>
        <v>115657.21524918315</v>
      </c>
      <c r="AR992" s="7">
        <f t="shared" si="188"/>
        <v>-337669.87877125212</v>
      </c>
      <c r="AS992" s="7"/>
      <c r="AT992" s="7">
        <f t="shared" si="189"/>
        <v>554.53741269052466</v>
      </c>
      <c r="AU992" s="7">
        <f t="shared" si="190"/>
        <v>-410.20502810408146</v>
      </c>
      <c r="AV992" s="7"/>
      <c r="AX992" s="7">
        <f t="shared" si="191"/>
        <v>-1.0886960048718344</v>
      </c>
      <c r="AY992" s="7">
        <f t="shared" si="192"/>
        <v>3.9284550260161009</v>
      </c>
      <c r="BB992" s="7">
        <f t="shared" si="193"/>
        <v>-0.46847490991618873</v>
      </c>
      <c r="BC992" s="7">
        <f t="shared" si="194"/>
        <v>1.2006336326361773</v>
      </c>
      <c r="BF992" s="7">
        <f t="shared" si="195"/>
        <v>-1.5433689822882337</v>
      </c>
      <c r="BG992" s="7">
        <f t="shared" si="196"/>
        <v>4.127384188220991</v>
      </c>
      <c r="BI992" s="10">
        <f t="shared" si="197"/>
        <v>-3.1005398970762572</v>
      </c>
      <c r="BJ992">
        <f t="shared" si="198"/>
        <v>9.2564728468732689</v>
      </c>
    </row>
    <row r="993" spans="42:62" x14ac:dyDescent="0.25">
      <c r="AP993" s="1">
        <v>988</v>
      </c>
      <c r="AQ993" s="7">
        <f t="shared" si="187"/>
        <v>115934.09638804127</v>
      </c>
      <c r="AR993" s="7">
        <f t="shared" si="188"/>
        <v>-337873.82422619831</v>
      </c>
      <c r="AS993" s="7"/>
      <c r="AT993" s="7">
        <f t="shared" si="189"/>
        <v>552.98714274198653</v>
      </c>
      <c r="AU993" s="7">
        <f t="shared" si="190"/>
        <v>-405.57679168064482</v>
      </c>
      <c r="AV993" s="7"/>
      <c r="AX993" s="7">
        <f t="shared" si="191"/>
        <v>-1.0893787679013016</v>
      </c>
      <c r="AY993" s="7">
        <f t="shared" si="192"/>
        <v>3.9218893518217097</v>
      </c>
      <c r="BB993" s="7">
        <f t="shared" si="193"/>
        <v>-0.46833625035113874</v>
      </c>
      <c r="BC993" s="7">
        <f t="shared" si="194"/>
        <v>1.1985361050867427</v>
      </c>
      <c r="BF993" s="7">
        <f t="shared" si="195"/>
        <v>-1.5430399315858099</v>
      </c>
      <c r="BG993" s="7">
        <f t="shared" si="196"/>
        <v>4.1196587110242602</v>
      </c>
      <c r="BI993" s="10">
        <f t="shared" si="197"/>
        <v>-3.1007549498382501</v>
      </c>
      <c r="BJ993">
        <f t="shared" si="198"/>
        <v>9.2400841679327126</v>
      </c>
    </row>
    <row r="994" spans="42:62" x14ac:dyDescent="0.25">
      <c r="AP994" s="1">
        <v>989</v>
      </c>
      <c r="AQ994" s="7">
        <f t="shared" si="187"/>
        <v>116210.20236504354</v>
      </c>
      <c r="AR994" s="7">
        <f t="shared" si="188"/>
        <v>-338075.45761151763</v>
      </c>
      <c r="AS994" s="7"/>
      <c r="AT994" s="7">
        <f t="shared" si="189"/>
        <v>551.43676526706736</v>
      </c>
      <c r="AU994" s="7">
        <f t="shared" si="190"/>
        <v>-400.95674959667843</v>
      </c>
      <c r="AV994" s="7"/>
      <c r="AX994" s="7">
        <f t="shared" si="191"/>
        <v>-1.0900669940097394</v>
      </c>
      <c r="AY994" s="7">
        <f t="shared" si="192"/>
        <v>3.9153893352478311</v>
      </c>
      <c r="BB994" s="7">
        <f t="shared" si="193"/>
        <v>-0.46820268474367538</v>
      </c>
      <c r="BC994" s="7">
        <f t="shared" si="194"/>
        <v>1.1964585685757698</v>
      </c>
      <c r="BF994" s="7">
        <f t="shared" si="195"/>
        <v>-1.5427275093764217</v>
      </c>
      <c r="BG994" s="7">
        <f t="shared" si="196"/>
        <v>4.1120086126133346</v>
      </c>
      <c r="BI994" s="10">
        <f t="shared" si="197"/>
        <v>-3.1009971881298366</v>
      </c>
      <c r="BJ994">
        <f t="shared" si="198"/>
        <v>9.2238565164369355</v>
      </c>
    </row>
    <row r="995" spans="42:62" x14ac:dyDescent="0.25">
      <c r="AP995" s="1">
        <v>990</v>
      </c>
      <c r="AQ995" s="7">
        <f t="shared" si="187"/>
        <v>116485.53312302857</v>
      </c>
      <c r="AR995" s="7">
        <f t="shared" si="188"/>
        <v>-338274.78300425137</v>
      </c>
      <c r="AS995" s="7"/>
      <c r="AT995" s="7">
        <f t="shared" si="189"/>
        <v>549.88626667300241</v>
      </c>
      <c r="AU995" s="7">
        <f t="shared" si="190"/>
        <v>-396.34482133845995</v>
      </c>
      <c r="AV995" s="7"/>
      <c r="AX995" s="7">
        <f t="shared" si="191"/>
        <v>-1.0907607391027265</v>
      </c>
      <c r="AY995" s="7">
        <f t="shared" si="192"/>
        <v>3.9089544894972912</v>
      </c>
      <c r="BB995" s="7">
        <f t="shared" si="193"/>
        <v>-0.46807419689610485</v>
      </c>
      <c r="BC995" s="7">
        <f t="shared" si="194"/>
        <v>1.1944008688960075</v>
      </c>
      <c r="BF995" s="7">
        <f t="shared" si="195"/>
        <v>-1.5424316768380204</v>
      </c>
      <c r="BG995" s="7">
        <f t="shared" si="196"/>
        <v>4.1044332836217796</v>
      </c>
      <c r="BI995" s="10">
        <f t="shared" si="197"/>
        <v>-3.1012666128368518</v>
      </c>
      <c r="BJ995">
        <f t="shared" si="198"/>
        <v>9.2077886420150783</v>
      </c>
    </row>
    <row r="996" spans="42:62" x14ac:dyDescent="0.25">
      <c r="AP996" s="1">
        <v>991</v>
      </c>
      <c r="AQ996" s="7">
        <f t="shared" si="187"/>
        <v>116760.08859803846</v>
      </c>
      <c r="AR996" s="7">
        <f t="shared" si="188"/>
        <v>-338471.80444134033</v>
      </c>
      <c r="AS996" s="7"/>
      <c r="AT996" s="7">
        <f t="shared" si="189"/>
        <v>548.33563336658403</v>
      </c>
      <c r="AU996" s="7">
        <f t="shared" si="190"/>
        <v>-391.74092701745241</v>
      </c>
      <c r="AV996" s="7"/>
      <c r="AX996" s="7">
        <f t="shared" si="191"/>
        <v>-1.0914600586715781</v>
      </c>
      <c r="AY996" s="7">
        <f t="shared" si="192"/>
        <v>3.9025843345694509</v>
      </c>
      <c r="BB996" s="7">
        <f t="shared" si="193"/>
        <v>-0.46795077096415405</v>
      </c>
      <c r="BC996" s="7">
        <f t="shared" si="194"/>
        <v>1.1923628539528013</v>
      </c>
      <c r="BF996" s="7">
        <f t="shared" si="195"/>
        <v>-1.5421523961530297</v>
      </c>
      <c r="BG996" s="7">
        <f t="shared" si="196"/>
        <v>4.0969321232507179</v>
      </c>
      <c r="BI996" s="10">
        <f t="shared" si="197"/>
        <v>-3.1015632257887615</v>
      </c>
      <c r="BJ996">
        <f t="shared" si="198"/>
        <v>9.1918793117729702</v>
      </c>
    </row>
    <row r="997" spans="42:62" x14ac:dyDescent="0.25">
      <c r="AP997" s="1">
        <v>992</v>
      </c>
      <c r="AQ997" s="7">
        <f t="shared" si="187"/>
        <v>117033.86871931853</v>
      </c>
      <c r="AR997" s="7">
        <f t="shared" si="188"/>
        <v>-338666.52591993508</v>
      </c>
      <c r="AS997" s="7"/>
      <c r="AT997" s="7">
        <f t="shared" si="189"/>
        <v>546.78485175368962</v>
      </c>
      <c r="AU997" s="7">
        <f t="shared" si="190"/>
        <v>-387.14498736156594</v>
      </c>
      <c r="AV997" s="7"/>
      <c r="AX997" s="7">
        <f t="shared" si="191"/>
        <v>-1.0921650078088567</v>
      </c>
      <c r="AY997" s="7">
        <f t="shared" si="192"/>
        <v>3.8962783971658785</v>
      </c>
      <c r="BB997" s="7">
        <f t="shared" si="193"/>
        <v>-0.46783239145388084</v>
      </c>
      <c r="BC997" s="7">
        <f t="shared" si="194"/>
        <v>1.1903443737339661</v>
      </c>
      <c r="BF997" s="7">
        <f t="shared" si="195"/>
        <v>-1.5418896305026228</v>
      </c>
      <c r="BG997" s="7">
        <f t="shared" si="196"/>
        <v>4.0895045391423626</v>
      </c>
      <c r="BI997" s="10">
        <f t="shared" si="197"/>
        <v>-3.1018870297653605</v>
      </c>
      <c r="BJ997">
        <f t="shared" si="198"/>
        <v>9.1761273100422081</v>
      </c>
    </row>
    <row r="998" spans="42:62" x14ac:dyDescent="0.25">
      <c r="AP998" s="1">
        <v>993</v>
      </c>
      <c r="AQ998" s="7">
        <f t="shared" si="187"/>
        <v>117306.87340931666</v>
      </c>
      <c r="AR998" s="7">
        <f t="shared" si="188"/>
        <v>-338858.95139770216</v>
      </c>
      <c r="AS998" s="7"/>
      <c r="AT998" s="7">
        <f t="shared" si="189"/>
        <v>545.23390823880698</v>
      </c>
      <c r="AU998" s="7">
        <f t="shared" si="190"/>
        <v>-382.55692370654481</v>
      </c>
      <c r="AV998" s="7"/>
      <c r="AX998" s="7">
        <f t="shared" si="191"/>
        <v>-1.0928756412236031</v>
      </c>
      <c r="AY998" s="7">
        <f t="shared" si="192"/>
        <v>3.8900362105978052</v>
      </c>
      <c r="BB998" s="7">
        <f t="shared" si="193"/>
        <v>-0.46771904321862368</v>
      </c>
      <c r="BC998" s="7">
        <f t="shared" si="194"/>
        <v>1.1883452802801511</v>
      </c>
      <c r="BF998" s="7">
        <f t="shared" si="195"/>
        <v>-1.5416433440609851</v>
      </c>
      <c r="BG998" s="7">
        <f t="shared" si="196"/>
        <v>4.0821499472555862</v>
      </c>
      <c r="BI998" s="10">
        <f t="shared" si="197"/>
        <v>-3.1022380285032121</v>
      </c>
      <c r="BJ998">
        <f t="shared" si="198"/>
        <v>9.1605314381335425</v>
      </c>
    </row>
    <row r="999" spans="42:62" x14ac:dyDescent="0.25">
      <c r="AP999" s="1">
        <v>994</v>
      </c>
      <c r="AQ999" s="7">
        <f t="shared" si="187"/>
        <v>117579.1025836825</v>
      </c>
      <c r="AR999" s="7">
        <f t="shared" si="188"/>
        <v>-339049.08479312569</v>
      </c>
      <c r="AS999" s="7"/>
      <c r="AT999" s="7">
        <f t="shared" si="189"/>
        <v>543.68278922455534</v>
      </c>
      <c r="AU999" s="7">
        <f t="shared" si="190"/>
        <v>-377.97665798747806</v>
      </c>
      <c r="AV999" s="7"/>
      <c r="AX999" s="7">
        <f t="shared" si="191"/>
        <v>-1.0935920132562487</v>
      </c>
      <c r="AY999" s="7">
        <f t="shared" si="192"/>
        <v>3.8838573146951609</v>
      </c>
      <c r="BB999" s="7">
        <f t="shared" si="193"/>
        <v>-0.46761071145603539</v>
      </c>
      <c r="BC999" s="7">
        <f t="shared" si="194"/>
        <v>1.1863654276557989</v>
      </c>
      <c r="BF999" s="7">
        <f t="shared" si="195"/>
        <v>-1.5414135019898552</v>
      </c>
      <c r="BG999" s="7">
        <f t="shared" si="196"/>
        <v>4.0748677717442439</v>
      </c>
      <c r="BI999" s="10">
        <f t="shared" si="197"/>
        <v>-3.1026162267021391</v>
      </c>
      <c r="BJ999">
        <f t="shared" si="198"/>
        <v>9.1450905140952035</v>
      </c>
    </row>
    <row r="1000" spans="42:62" x14ac:dyDescent="0.25">
      <c r="AP1000" s="1">
        <v>995</v>
      </c>
      <c r="AQ1000" s="7">
        <f t="shared" si="187"/>
        <v>117850.55615126644</v>
      </c>
      <c r="AR1000" s="7">
        <f t="shared" si="188"/>
        <v>-339236.92998580518</v>
      </c>
      <c r="AS1000" s="7"/>
      <c r="AT1000" s="7">
        <f t="shared" si="189"/>
        <v>542.13148111120427</v>
      </c>
      <c r="AU1000" s="7">
        <f t="shared" si="190"/>
        <v>-373.40411273043048</v>
      </c>
      <c r="AV1000" s="7"/>
      <c r="AX1000" s="7">
        <f t="shared" si="191"/>
        <v>-1.0943141778932814</v>
      </c>
      <c r="AY1000" s="7">
        <f t="shared" si="192"/>
        <v>3.877741255717388</v>
      </c>
      <c r="BB1000" s="7">
        <f t="shared" si="193"/>
        <v>-0.46750738170517631</v>
      </c>
      <c r="BC1000" s="7">
        <f t="shared" si="194"/>
        <v>1.1844046719206347</v>
      </c>
      <c r="BF1000" s="7">
        <f t="shared" si="195"/>
        <v>-1.5412000704330877</v>
      </c>
      <c r="BG1000" s="7">
        <f t="shared" si="196"/>
        <v>4.0676574448375389</v>
      </c>
      <c r="BI1000" s="10">
        <f t="shared" si="197"/>
        <v>-3.1030216300315452</v>
      </c>
      <c r="BJ1000">
        <f t="shared" si="198"/>
        <v>9.1298033724755605</v>
      </c>
    </row>
    <row r="1001" spans="42:62" x14ac:dyDescent="0.25">
      <c r="AP1001" s="1">
        <v>996</v>
      </c>
      <c r="AQ1001" s="7">
        <f t="shared" si="187"/>
        <v>118121.23401411828</v>
      </c>
      <c r="AR1001" s="7">
        <f t="shared" si="188"/>
        <v>-339422.49081674882</v>
      </c>
      <c r="AS1001" s="7"/>
      <c r="AT1001" s="7">
        <f t="shared" si="189"/>
        <v>540.57997029618855</v>
      </c>
      <c r="AU1001" s="7">
        <f t="shared" si="190"/>
        <v>-368.83921104419272</v>
      </c>
      <c r="AV1001" s="7"/>
      <c r="AX1001" s="7">
        <f t="shared" si="191"/>
        <v>-1.0950421887817023</v>
      </c>
      <c r="AY1001" s="7">
        <f t="shared" si="192"/>
        <v>3.8716875862660993</v>
      </c>
      <c r="BB1001" s="7">
        <f t="shared" si="193"/>
        <v>-0.46740903984369309</v>
      </c>
      <c r="BC1001" s="7">
        <f t="shared" si="194"/>
        <v>1.1824628711017302</v>
      </c>
      <c r="BF1001" s="7">
        <f t="shared" si="195"/>
        <v>-1.5410030165113959</v>
      </c>
      <c r="BG1001" s="7">
        <f t="shared" si="196"/>
        <v>4.0605184067227835</v>
      </c>
      <c r="BI1001" s="10">
        <f t="shared" si="197"/>
        <v>-3.103454245136791</v>
      </c>
      <c r="BJ1001">
        <f t="shared" si="198"/>
        <v>9.1146688640906142</v>
      </c>
    </row>
    <row r="1002" spans="42:62" x14ac:dyDescent="0.25">
      <c r="AP1002" s="1">
        <v>997</v>
      </c>
      <c r="AQ1002" s="7">
        <f t="shared" si="187"/>
        <v>118391.13606748573</v>
      </c>
      <c r="AR1002" s="7">
        <f t="shared" si="188"/>
        <v>-339605.77108866285</v>
      </c>
      <c r="AS1002" s="7"/>
      <c r="AT1002" s="7">
        <f t="shared" si="189"/>
        <v>539.02824317362013</v>
      </c>
      <c r="AU1002" s="7">
        <f t="shared" si="190"/>
        <v>-364.28187661214741</v>
      </c>
      <c r="AV1002" s="7"/>
      <c r="AX1002" s="7">
        <f t="shared" si="191"/>
        <v>-1.0957760992430983</v>
      </c>
      <c r="AY1002" s="7">
        <f t="shared" si="192"/>
        <v>3.8656958651989082</v>
      </c>
      <c r="BB1002" s="7">
        <f t="shared" si="193"/>
        <v>-0.46731567208500663</v>
      </c>
      <c r="BC1002" s="7">
        <f t="shared" si="194"/>
        <v>1.1805398851659537</v>
      </c>
      <c r="BF1002" s="7">
        <f t="shared" si="195"/>
        <v>-1.5408223083171866</v>
      </c>
      <c r="BG1002" s="7">
        <f t="shared" si="196"/>
        <v>4.0534501054302936</v>
      </c>
      <c r="BI1002" s="10">
        <f t="shared" si="197"/>
        <v>-3.1039140796452918</v>
      </c>
      <c r="BJ1002">
        <f t="shared" si="198"/>
        <v>9.0996858557951548</v>
      </c>
    </row>
    <row r="1003" spans="42:62" x14ac:dyDescent="0.25">
      <c r="AP1003" s="1">
        <v>998</v>
      </c>
      <c r="AQ1003" s="7">
        <f t="shared" si="187"/>
        <v>118660.26219981258</v>
      </c>
      <c r="AR1003" s="7">
        <f t="shared" si="188"/>
        <v>-339786.77456623694</v>
      </c>
      <c r="AS1003" s="7"/>
      <c r="AT1003" s="7">
        <f t="shared" si="189"/>
        <v>537.47628613379743</v>
      </c>
      <c r="AU1003" s="7">
        <f t="shared" si="190"/>
        <v>-359.73203368424981</v>
      </c>
      <c r="AV1003" s="7"/>
      <c r="AX1003" s="7">
        <f t="shared" si="191"/>
        <v>-1.0965159622876153</v>
      </c>
      <c r="AY1003" s="7">
        <f t="shared" si="192"/>
        <v>3.859765657545382</v>
      </c>
      <c r="BB1003" s="7">
        <f t="shared" si="193"/>
        <v>-0.46722726497563394</v>
      </c>
      <c r="BC1003" s="7">
        <f t="shared" si="194"/>
        <v>1.1786355759931084</v>
      </c>
      <c r="BF1003" s="7">
        <f t="shared" si="195"/>
        <v>-1.5406579149096002</v>
      </c>
      <c r="BG1003" s="7">
        <f t="shared" si="196"/>
        <v>4.046451996720668</v>
      </c>
      <c r="BI1003" s="10">
        <f t="shared" si="197"/>
        <v>-3.1044011421728497</v>
      </c>
      <c r="BJ1003">
        <f t="shared" si="198"/>
        <v>9.0848532302591583</v>
      </c>
    </row>
    <row r="1004" spans="42:62" x14ac:dyDescent="0.25">
      <c r="AP1004" s="1">
        <v>999</v>
      </c>
      <c r="AQ1004" s="7">
        <f t="shared" si="187"/>
        <v>118928.61229273671</v>
      </c>
      <c r="AR1004" s="7">
        <f t="shared" si="188"/>
        <v>-339965.50497642532</v>
      </c>
      <c r="AS1004" s="7"/>
      <c r="AT1004" s="7">
        <f t="shared" si="189"/>
        <v>535.92408556271096</v>
      </c>
      <c r="AU1004" s="7">
        <f t="shared" si="190"/>
        <v>-355.18960706912026</v>
      </c>
      <c r="AV1004" s="7"/>
      <c r="AX1004" s="7">
        <f t="shared" si="191"/>
        <v>-1.097261830627545</v>
      </c>
      <c r="AY1004" s="7">
        <f t="shared" si="192"/>
        <v>3.8538965344240328</v>
      </c>
      <c r="BB1004" s="7">
        <f t="shared" si="193"/>
        <v>-0.46714380539250466</v>
      </c>
      <c r="BC1004" s="7">
        <f t="shared" si="194"/>
        <v>1.176749807349396</v>
      </c>
      <c r="BF1004" s="7">
        <f t="shared" si="195"/>
        <v>-1.5405098063095772</v>
      </c>
      <c r="BG1004" s="7">
        <f t="shared" si="196"/>
        <v>4.0395235439739299</v>
      </c>
      <c r="BI1004" s="10">
        <f t="shared" si="197"/>
        <v>-3.1049154423296268</v>
      </c>
      <c r="BJ1004">
        <f t="shared" si="198"/>
        <v>9.0701698857473581</v>
      </c>
    </row>
  </sheetData>
  <mergeCells count="54">
    <mergeCell ref="AP3:AR3"/>
    <mergeCell ref="AI3:AJ3"/>
    <mergeCell ref="AK3:AL3"/>
    <mergeCell ref="R26:S26"/>
    <mergeCell ref="R25:S25"/>
    <mergeCell ref="R24:S24"/>
    <mergeCell ref="AM3:AN3"/>
    <mergeCell ref="AF6:AG6"/>
    <mergeCell ref="T24:U24"/>
    <mergeCell ref="T23:U23"/>
    <mergeCell ref="T26:U26"/>
    <mergeCell ref="AB2:AB3"/>
    <mergeCell ref="R47:S47"/>
    <mergeCell ref="R46:S46"/>
    <mergeCell ref="R45:S45"/>
    <mergeCell ref="R44:S44"/>
    <mergeCell ref="R43:S43"/>
    <mergeCell ref="R42:S42"/>
    <mergeCell ref="R38:S38"/>
    <mergeCell ref="R37:S37"/>
    <mergeCell ref="R36:S36"/>
    <mergeCell ref="R35:S35"/>
    <mergeCell ref="R34:S34"/>
    <mergeCell ref="R33:S33"/>
    <mergeCell ref="R29:S29"/>
    <mergeCell ref="R28:S28"/>
    <mergeCell ref="R27:S27"/>
    <mergeCell ref="T32:U32"/>
    <mergeCell ref="T47:U47"/>
    <mergeCell ref="T46:U46"/>
    <mergeCell ref="T45:U45"/>
    <mergeCell ref="T44:U44"/>
    <mergeCell ref="T42:U42"/>
    <mergeCell ref="T41:U41"/>
    <mergeCell ref="T33:U33"/>
    <mergeCell ref="T38:U38"/>
    <mergeCell ref="T37:U37"/>
    <mergeCell ref="T36:U36"/>
    <mergeCell ref="T35:U35"/>
    <mergeCell ref="T29:U29"/>
    <mergeCell ref="T27:U27"/>
    <mergeCell ref="T28:U28"/>
    <mergeCell ref="E19:K20"/>
    <mergeCell ref="E2:W3"/>
    <mergeCell ref="R17:S17"/>
    <mergeCell ref="R13:S13"/>
    <mergeCell ref="R9:S9"/>
    <mergeCell ref="R8:S8"/>
    <mergeCell ref="R7:S7"/>
    <mergeCell ref="T17:U17"/>
    <mergeCell ref="T14:U14"/>
    <mergeCell ref="T13:U13"/>
    <mergeCell ref="T9:U9"/>
    <mergeCell ref="T7:U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47873-C652-4B50-B9D4-4B7C8A8CD6FF}">
  <sheetPr codeName="Feuil2"/>
  <dimension ref="A1:T29"/>
  <sheetViews>
    <sheetView showGridLines="0" tabSelected="1" topLeftCell="H1" zoomScale="115" zoomScaleNormal="115" workbookViewId="0">
      <selection activeCell="S4" sqref="S4"/>
    </sheetView>
  </sheetViews>
  <sheetFormatPr baseColWidth="10" defaultColWidth="8.140625" defaultRowHeight="15" x14ac:dyDescent="0.25"/>
  <cols>
    <col min="1" max="1" width="5.5703125" hidden="1" customWidth="1"/>
    <col min="2" max="2" width="6.42578125" hidden="1" customWidth="1"/>
    <col min="3" max="4" width="14" hidden="1" customWidth="1"/>
    <col min="5" max="5" width="3.28515625" hidden="1" customWidth="1"/>
    <col min="6" max="7" width="14" hidden="1" customWidth="1"/>
    <col min="8" max="9" width="14" customWidth="1"/>
    <col min="10" max="10" width="25" customWidth="1"/>
    <col min="11" max="11" width="17" customWidth="1"/>
    <col min="12" max="12" width="17.7109375" customWidth="1"/>
    <col min="15" max="15" width="8.28515625" customWidth="1"/>
    <col min="16" max="16" width="16.140625" customWidth="1"/>
    <col min="17" max="17" width="6.42578125" bestFit="1" customWidth="1"/>
  </cols>
  <sheetData>
    <row r="1" spans="1:16" x14ac:dyDescent="0.25">
      <c r="A1">
        <v>1</v>
      </c>
      <c r="L1" s="195" t="s">
        <v>81</v>
      </c>
      <c r="M1" s="195"/>
      <c r="N1" s="195"/>
      <c r="O1" s="195"/>
      <c r="P1" s="195"/>
    </row>
    <row r="2" spans="1:16" x14ac:dyDescent="0.25">
      <c r="A2">
        <v>1000</v>
      </c>
      <c r="C2" s="126" t="s">
        <v>1</v>
      </c>
      <c r="D2" s="126" t="s">
        <v>2</v>
      </c>
      <c r="F2" s="187" t="s">
        <v>78</v>
      </c>
      <c r="G2" s="187"/>
      <c r="H2" s="130"/>
      <c r="I2" s="130"/>
      <c r="L2" s="195"/>
      <c r="M2" s="195"/>
      <c r="N2" s="195"/>
      <c r="O2" s="195"/>
      <c r="P2" s="195"/>
    </row>
    <row r="3" spans="1:16" ht="15" customHeight="1" x14ac:dyDescent="0.25">
      <c r="A3">
        <v>1</v>
      </c>
      <c r="C3" s="131" cm="1">
        <f t="array" ref="C3">INDEX(Données!AQ5:AQ1004,Animation!A3)</f>
        <v>0</v>
      </c>
      <c r="D3" s="131" cm="1">
        <f t="array" ref="D3">INDEX(Données!AR5:AR1004,Animation!A3)</f>
        <v>0</v>
      </c>
      <c r="E3" s="131"/>
      <c r="F3" s="131" cm="1">
        <f t="array" ref="F3">INDEX(Données!AQ5:AQ1004,IF(A3-10&lt;=0,A3,A3-10))</f>
        <v>0</v>
      </c>
      <c r="G3" s="131" cm="1">
        <f t="array" ref="G3">INDEX(Données!AR5:AR1004,IF(A3-10&lt;=0,A3,A3-10))</f>
        <v>0</v>
      </c>
    </row>
    <row r="4" spans="1:16" ht="15" customHeight="1" x14ac:dyDescent="0.25">
      <c r="C4" s="131"/>
      <c r="D4" s="131"/>
      <c r="E4" s="131"/>
      <c r="F4" s="131" cm="1">
        <f t="array" ref="F4">INDEX(Données!AQ5:AQ1004,IF(Animation!A3-9&lt;=0,A3,A3-9))</f>
        <v>0</v>
      </c>
      <c r="G4" s="131" cm="1">
        <f t="array" ref="G4">INDEX(Données!AR5:AR1004,IF(Animation!A3-9&lt;=0,A3,A3-9))</f>
        <v>0</v>
      </c>
      <c r="L4" s="127"/>
      <c r="M4" s="127"/>
      <c r="N4" s="127"/>
      <c r="O4" s="127"/>
      <c r="P4" s="127"/>
    </row>
    <row r="5" spans="1:16" x14ac:dyDescent="0.25">
      <c r="C5" s="131"/>
      <c r="D5" s="131"/>
      <c r="E5" s="131"/>
      <c r="F5" s="131" cm="1">
        <f t="array" ref="F5">INDEX(Données!AQ5:AQ1004,IF(Animation!A3-8&lt;=0,A3,A3-8))</f>
        <v>0</v>
      </c>
      <c r="G5" s="131" cm="1">
        <f t="array" ref="G5">INDEX(Données!AR5:AR1004,IF(Animation!A3-8&lt;=0,A3,A3-8))</f>
        <v>0</v>
      </c>
    </row>
    <row r="6" spans="1:16" x14ac:dyDescent="0.25">
      <c r="C6" s="131"/>
      <c r="D6" s="131"/>
      <c r="E6" s="131"/>
      <c r="F6" s="131" cm="1">
        <f t="array" ref="F6">INDEX(Données!AQ5:AQ1004,IF(Animation!A3-7&lt;=0,A3,A3-7))</f>
        <v>0</v>
      </c>
      <c r="G6" s="131" cm="1">
        <f t="array" ref="G6">INDEX(Données!AR5:AR1004,IF(Animation!A3-7&lt;=0,A3,A3-7))</f>
        <v>0</v>
      </c>
    </row>
    <row r="7" spans="1:16" x14ac:dyDescent="0.25">
      <c r="C7" s="131"/>
      <c r="D7" s="131"/>
      <c r="E7" s="131"/>
      <c r="F7" s="131" cm="1">
        <f t="array" ref="F7">INDEX(Données!AQ5:AQ1004,IF(Animation!A3-6&lt;=0,A3,A3-6))</f>
        <v>0</v>
      </c>
      <c r="G7" s="131" cm="1">
        <f t="array" ref="G7">INDEX(Données!AR5:AR1004,IF(Animation!A3-6&lt;=0,A3,A3-6))</f>
        <v>0</v>
      </c>
    </row>
    <row r="8" spans="1:16" x14ac:dyDescent="0.25">
      <c r="C8" s="131"/>
      <c r="D8" s="131"/>
      <c r="E8" s="131"/>
      <c r="F8" s="131" cm="1">
        <f t="array" ref="F8">INDEX(Données!AQ5:AQ1004,IF(Animation!A3-5&lt;=0,A3,A3-5))</f>
        <v>0</v>
      </c>
      <c r="G8" s="131" cm="1">
        <f t="array" ref="G8">INDEX(Données!AR5:AR1004,IF(Animation!A3-5&lt;=0,A3,A3-5))</f>
        <v>0</v>
      </c>
    </row>
    <row r="9" spans="1:16" x14ac:dyDescent="0.25">
      <c r="C9" s="131"/>
      <c r="D9" s="131"/>
      <c r="E9" s="131"/>
      <c r="F9" s="131" cm="1">
        <f t="array" ref="F9">INDEX(Données!AQ5:AQ1004,IF(Animation!A3-4&lt;=0,A3,A3-4))</f>
        <v>0</v>
      </c>
      <c r="G9" s="131" cm="1">
        <f t="array" ref="G9">INDEX(Données!AR5:AR1004,IF(Animation!A3-4&lt;=0,A3,A3-4))</f>
        <v>0</v>
      </c>
    </row>
    <row r="10" spans="1:16" x14ac:dyDescent="0.25">
      <c r="C10" s="131"/>
      <c r="D10" s="131"/>
      <c r="E10" s="131"/>
      <c r="F10" s="131" cm="1">
        <f t="array" ref="F10">INDEX(Données!AQ5:AQ1004,IF(Animation!A3-3&lt;=0,A3,A3-3))</f>
        <v>0</v>
      </c>
      <c r="G10" s="131" cm="1">
        <f t="array" ref="G10">INDEX(Données!AR5:AR1004,IF(Animation!A3-3&lt;=0,A3,A3-3))</f>
        <v>0</v>
      </c>
    </row>
    <row r="11" spans="1:16" x14ac:dyDescent="0.25">
      <c r="C11" s="131"/>
      <c r="D11" s="131"/>
      <c r="E11" s="131"/>
      <c r="F11" s="131" cm="1">
        <f t="array" ref="F11">INDEX(Données!AQ5:AQ1004,IF(Animation!A3-2&lt;=0,A3,A3-2))</f>
        <v>0</v>
      </c>
      <c r="G11" s="131" cm="1">
        <f t="array" ref="G11">INDEX(Données!AR5:AR1004,IF(Animation!A3-2&lt;=0,A3,A3-2))</f>
        <v>0</v>
      </c>
    </row>
    <row r="12" spans="1:16" x14ac:dyDescent="0.25">
      <c r="C12" s="131"/>
      <c r="D12" s="131"/>
      <c r="E12" s="131"/>
      <c r="F12" s="131" cm="1">
        <f t="array" ref="F12">INDEX(Données!AQ5:AQ1004,IF(Animation!A3-1&lt;=0,A3,A3-1))</f>
        <v>0</v>
      </c>
      <c r="G12" s="131" cm="1">
        <f t="array" ref="G12">INDEX(Données!AR5:AR1004,IF(Animation!A3-1&lt;=0,A3,A3-1))</f>
        <v>0</v>
      </c>
    </row>
    <row r="13" spans="1:16" x14ac:dyDescent="0.25">
      <c r="C13" s="131"/>
      <c r="D13" s="131"/>
      <c r="E13" s="131"/>
      <c r="F13" s="131">
        <f>C3</f>
        <v>0</v>
      </c>
      <c r="G13" s="131">
        <f>D3</f>
        <v>0</v>
      </c>
    </row>
    <row r="26" spans="11:20" x14ac:dyDescent="0.25">
      <c r="T26" s="128"/>
    </row>
    <row r="27" spans="11:20" x14ac:dyDescent="0.25">
      <c r="Q27" s="129">
        <f>IF(A3/1000 = 0.001,0,A3/1000)</f>
        <v>0</v>
      </c>
    </row>
    <row r="28" spans="11:20" ht="27.75" customHeight="1" x14ac:dyDescent="0.25"/>
    <row r="29" spans="11:20" x14ac:dyDescent="0.25">
      <c r="K29" s="194" t="s">
        <v>79</v>
      </c>
      <c r="L29" s="194"/>
      <c r="M29" s="194"/>
      <c r="N29" s="194"/>
      <c r="O29" s="194"/>
      <c r="P29" s="194"/>
      <c r="Q29" s="194"/>
      <c r="R29" s="194"/>
      <c r="S29" s="194"/>
    </row>
  </sheetData>
  <mergeCells count="3">
    <mergeCell ref="F2:G2"/>
    <mergeCell ref="K29:S29"/>
    <mergeCell ref="L1:P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_simulation">
                <anchor moveWithCells="1" sizeWithCells="1">
                  <from>
                    <xdr:col>11</xdr:col>
                    <xdr:colOff>219075</xdr:colOff>
                    <xdr:row>23</xdr:row>
                    <xdr:rowOff>133350</xdr:rowOff>
                  </from>
                  <to>
                    <xdr:col>15</xdr:col>
                    <xdr:colOff>1038225</xdr:colOff>
                    <xdr:row>27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Données</vt:lpstr>
      <vt:lpstr>Animation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 Balso Alek</dc:creator>
  <cp:lastModifiedBy>Del Balso Alek</cp:lastModifiedBy>
  <dcterms:created xsi:type="dcterms:W3CDTF">2022-11-15T14:05:46Z</dcterms:created>
  <dcterms:modified xsi:type="dcterms:W3CDTF">2022-11-29T18:05:12Z</dcterms:modified>
</cp:coreProperties>
</file>