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X:\outils gestion\remise-c13\"/>
    </mc:Choice>
  </mc:AlternateContent>
  <xr:revisionPtr revIDLastSave="0" documentId="13_ncr:1_{50273FED-A22B-4EDD-BE94-E180706DED2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Résultat attendu" sheetId="1" r:id="rId1"/>
    <sheet name="résultat" sheetId="4" r:id="rId2"/>
    <sheet name="Données brutes" sheetId="2" r:id="rId3"/>
    <sheet name="Objectifs" sheetId="3" r:id="rId4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1" l="1"/>
  <c r="E21" i="1"/>
  <c r="D21" i="1"/>
  <c r="C21" i="1"/>
  <c r="G20" i="1"/>
  <c r="G19" i="1"/>
  <c r="G18" i="1"/>
  <c r="F14" i="1"/>
  <c r="E14" i="1"/>
  <c r="D14" i="1"/>
  <c r="C14" i="1"/>
  <c r="G13" i="1"/>
  <c r="G12" i="1"/>
  <c r="G11" i="1"/>
  <c r="G10" i="1"/>
  <c r="G9" i="1"/>
  <c r="F25" i="1" l="1"/>
  <c r="D25" i="1"/>
  <c r="C25" i="1"/>
  <c r="E25" i="1"/>
  <c r="G14" i="1"/>
  <c r="G21" i="1"/>
  <c r="G25" i="1" l="1"/>
</calcChain>
</file>

<file path=xl/sharedStrings.xml><?xml version="1.0" encoding="utf-8"?>
<sst xmlns="http://schemas.openxmlformats.org/spreadsheetml/2006/main" count="105" uniqueCount="31">
  <si>
    <t>Total</t>
  </si>
  <si>
    <t>Net</t>
  </si>
  <si>
    <t>Dépenses</t>
  </si>
  <si>
    <t>Trimestre 1</t>
  </si>
  <si>
    <t>Trimestre 2</t>
  </si>
  <si>
    <t>Trimestre 3</t>
  </si>
  <si>
    <t>Trimestre 4</t>
  </si>
  <si>
    <t>Ventes</t>
  </si>
  <si>
    <t>Location</t>
  </si>
  <si>
    <t>Courantes</t>
  </si>
  <si>
    <t>Paie</t>
  </si>
  <si>
    <t>Assurances</t>
  </si>
  <si>
    <t>Fournitures</t>
  </si>
  <si>
    <t>Dépenses et ventes de 2009</t>
  </si>
  <si>
    <t>Résidentiel</t>
  </si>
  <si>
    <t>Automobile</t>
  </si>
  <si>
    <t>Vie</t>
  </si>
  <si>
    <t>Compagnie X</t>
  </si>
  <si>
    <t>Objectifs de cet exercice</t>
  </si>
  <si>
    <t>Mise en forme manuelle</t>
  </si>
  <si>
    <t>Graphique</t>
  </si>
  <si>
    <t>Histogramme 3D</t>
  </si>
  <si>
    <t>Histogramme groupé à formes cylindriques</t>
  </si>
  <si>
    <t>Mise en forme complète des graphiques</t>
  </si>
  <si>
    <t>Police</t>
  </si>
  <si>
    <t>Alignement</t>
  </si>
  <si>
    <t>Formatage des nombres</t>
  </si>
  <si>
    <t>Bordures</t>
  </si>
  <si>
    <t>Couleurs</t>
  </si>
  <si>
    <t>Courbes avec marques</t>
  </si>
  <si>
    <t>Dépense 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</si>
</sst>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* #,##0.00_)\ &quot;$&quot;_ ;_ * \(#,##0.00\)\ &quot;$&quot;_ ;_ * &quot;-&quot;??_)\ &quot;$&quot;_ ;_ @_ 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#,##0.00\ &quot;$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0"/>
      <name val="Arial"/>
      <family val="2"/>
    </font>
    <font>
      <b/>
      <sz val="8"/>
      <color theme="4" tint="-0.499984740745262"/>
      <name val="Arial"/>
      <family val="2"/>
    </font>
    <font>
      <b/>
      <i/>
      <sz val="8"/>
      <color theme="4" tint="-0.499984740745262"/>
      <name val="Arial"/>
      <family val="2"/>
    </font>
    <font>
      <b/>
      <sz val="8"/>
      <color theme="5" tint="-0.499984740745262"/>
      <name val="Arial"/>
      <family val="2"/>
    </font>
    <font>
      <b/>
      <i/>
      <sz val="8"/>
      <color theme="5" tint="-0.499984740745262"/>
      <name val="Arial"/>
      <family val="2"/>
    </font>
    <font>
      <b/>
      <sz val="8"/>
      <color theme="7" tint="-0.499984740745262"/>
      <name val="Arial"/>
      <family val="2"/>
    </font>
    <font>
      <b/>
      <sz val="16"/>
      <color theme="0"/>
      <name val="Arial"/>
      <family val="2"/>
    </font>
    <font>
      <i/>
      <sz val="8"/>
      <color theme="1" tint="0.499984740745262"/>
      <name val="Arial"/>
      <family val="2"/>
    </font>
    <font>
      <b/>
      <i/>
      <sz val="8"/>
      <color theme="7" tint="-0.499984740745262"/>
      <name val="Arial"/>
      <family val="2"/>
    </font>
    <font>
      <b/>
      <i/>
      <sz val="9"/>
      <color theme="0"/>
      <name val="Arial"/>
      <family val="2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4" tint="-0.499984740745262"/>
      <name val="Calibri"/>
      <family val="2"/>
      <scheme val="minor"/>
    </font>
    <font>
      <sz val="18"/>
      <color theme="0"/>
      <name val="Calibri"/>
      <family val="2"/>
      <scheme val="minor"/>
    </font>
    <font>
      <i/>
      <sz val="9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8"/>
      <name val="Arial"/>
      <family val="2"/>
    </font>
    <font>
      <b/>
      <sz val="8"/>
      <color theme="3" tint="-0.249977111117893"/>
      <name val="Arial"/>
      <family val="2"/>
    </font>
    <font>
      <b/>
      <i/>
      <sz val="8"/>
      <color theme="3" tint="-0.249977111117893"/>
      <name val="Arial"/>
      <family val="2"/>
    </font>
    <font>
      <b/>
      <i/>
      <sz val="8"/>
      <name val="Arial"/>
      <family val="2"/>
    </font>
    <font>
      <b/>
      <i/>
      <sz val="10"/>
      <color theme="0"/>
      <name val="Arial"/>
      <family val="2"/>
    </font>
    <font>
      <i/>
      <sz val="9"/>
      <color theme="0" tint="-0.49998474074526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5" tint="-0.499984740745262"/>
      </left>
      <right/>
      <top/>
      <bottom/>
      <diagonal/>
    </border>
    <border>
      <left style="medium">
        <color theme="5" tint="-0.499984740745262"/>
      </left>
      <right/>
      <top/>
      <bottom style="medium">
        <color theme="5" tint="-0.499984740745262"/>
      </bottom>
      <diagonal/>
    </border>
    <border>
      <left style="medium">
        <color theme="5" tint="-0.499984740745262"/>
      </left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 style="medium">
        <color theme="7" tint="-0.499984740745262"/>
      </top>
      <bottom style="medium">
        <color theme="7" tint="-0.499984740745262"/>
      </bottom>
      <diagonal/>
    </border>
    <border>
      <left/>
      <right style="thin">
        <color theme="0"/>
      </right>
      <top/>
      <bottom style="medium">
        <color theme="4" tint="-0.499984740745262"/>
      </bottom>
      <diagonal/>
    </border>
    <border>
      <left style="thin">
        <color theme="0"/>
      </left>
      <right style="thin">
        <color theme="0"/>
      </right>
      <top/>
      <bottom style="medium">
        <color theme="4" tint="-0.499984740745262"/>
      </bottom>
      <diagonal/>
    </border>
    <border>
      <left style="thin">
        <color theme="0"/>
      </left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4" tint="-0.499984740745262"/>
      </right>
      <top/>
      <bottom/>
      <diagonal/>
    </border>
    <border>
      <left style="thin">
        <color theme="0"/>
      </left>
      <right style="medium">
        <color theme="5" tint="-0.499984740745262"/>
      </right>
      <top/>
      <bottom/>
      <diagonal/>
    </border>
    <border>
      <left/>
      <right style="thin">
        <color theme="0"/>
      </right>
      <top/>
      <bottom style="medium">
        <color theme="5" tint="-0.499984740745262"/>
      </bottom>
      <diagonal/>
    </border>
    <border>
      <left style="thin">
        <color theme="0"/>
      </left>
      <right style="thin">
        <color theme="0"/>
      </right>
      <top/>
      <bottom style="medium">
        <color theme="5" tint="-0.499984740745262"/>
      </bottom>
      <diagonal/>
    </border>
    <border>
      <left style="thin">
        <color theme="0"/>
      </left>
      <right style="medium">
        <color theme="5" tint="-0.499984740745262"/>
      </right>
      <top/>
      <bottom style="medium">
        <color theme="5" tint="-0.499984740745262"/>
      </bottom>
      <diagonal/>
    </border>
    <border>
      <left/>
      <right style="thin">
        <color theme="0"/>
      </right>
      <top/>
      <bottom style="medium">
        <color theme="7" tint="-0.499984740745262"/>
      </bottom>
      <diagonal/>
    </border>
    <border>
      <left style="thin">
        <color theme="0"/>
      </left>
      <right style="medium">
        <color theme="7" tint="-0.499984740745262"/>
      </right>
      <top/>
      <bottom/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0"/>
      </left>
      <right style="thin">
        <color theme="0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0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thin">
        <color theme="0"/>
      </left>
      <right style="thin">
        <color theme="0"/>
      </right>
      <top style="medium">
        <color theme="5" tint="-0.499984740745262"/>
      </top>
      <bottom style="medium">
        <color theme="5" tint="-0.499984740745262"/>
      </bottom>
      <diagonal/>
    </border>
    <border>
      <left style="thin">
        <color theme="0"/>
      </left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 style="medium">
        <color theme="5" tint="-0.499984740745262"/>
      </right>
      <top style="medium">
        <color theme="5" tint="-0.499984740745262"/>
      </top>
      <bottom/>
      <diagonal/>
    </border>
    <border>
      <left/>
      <right style="medium">
        <color theme="7" tint="-0.499984740745262"/>
      </right>
      <top style="medium">
        <color theme="7" tint="-0.499984740745262"/>
      </top>
      <bottom/>
      <diagonal/>
    </border>
    <border>
      <left style="thin">
        <color theme="0"/>
      </left>
      <right style="thin">
        <color theme="0"/>
      </right>
      <top style="medium">
        <color theme="7" tint="-0.499984740745262"/>
      </top>
      <bottom style="medium">
        <color theme="7" tint="-0.499984740745262"/>
      </bottom>
      <diagonal/>
    </border>
    <border>
      <left style="thin">
        <color theme="0"/>
      </left>
      <right style="medium">
        <color theme="7" tint="-0.499984740745262"/>
      </right>
      <top style="medium">
        <color theme="7" tint="-0.499984740745262"/>
      </top>
      <bottom style="medium">
        <color theme="7" tint="-0.499984740745262"/>
      </bottom>
      <diagonal/>
    </border>
    <border>
      <left style="medium">
        <color theme="7" tint="-0.499984740745262"/>
      </left>
      <right/>
      <top style="medium">
        <color theme="7" tint="-0.499984740745262"/>
      </top>
      <bottom style="medium">
        <color theme="7" tint="-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/>
      <right/>
      <top/>
      <bottom style="thin">
        <color theme="4" tint="-0.24994659260841701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0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/>
      <right/>
      <top style="medium">
        <color theme="5" tint="-0.499984740745262"/>
      </top>
      <bottom/>
      <diagonal/>
    </border>
    <border>
      <left style="thin">
        <color theme="0"/>
      </left>
      <right/>
      <top style="medium">
        <color theme="5" tint="-0.499984740745262"/>
      </top>
      <bottom/>
      <diagonal/>
    </border>
    <border>
      <left style="thin">
        <color theme="0"/>
      </left>
      <right style="medium">
        <color theme="5" tint="-0.499984740745262"/>
      </right>
      <top style="medium">
        <color theme="5" tint="-0.499984740745262"/>
      </top>
      <bottom/>
      <diagonal/>
    </border>
    <border>
      <left style="medium">
        <color theme="3" tint="-0.24994659260841701"/>
      </left>
      <right/>
      <top style="medium">
        <color theme="3" tint="-0.24994659260841701"/>
      </top>
      <bottom style="medium">
        <color theme="3" tint="-0.24994659260841701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/>
      <right style="thin">
        <color theme="0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/>
      <top style="medium">
        <color theme="3" tint="-0.24994659260841701"/>
      </top>
      <bottom/>
      <diagonal/>
    </border>
    <border>
      <left style="medium">
        <color theme="3" tint="-0.24994659260841701"/>
      </left>
      <right/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 style="thin">
        <color theme="0"/>
      </left>
      <right style="medium">
        <color theme="3" tint="-0.24994659260841701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0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thin">
        <color theme="0"/>
      </right>
      <top/>
      <bottom style="medium">
        <color theme="3" tint="-0.24994659260841701"/>
      </bottom>
      <diagonal/>
    </border>
    <border>
      <left style="thin">
        <color theme="0"/>
      </left>
      <right/>
      <top style="medium">
        <color theme="7" tint="-0.499984740745262"/>
      </top>
      <bottom style="medium">
        <color theme="7" tint="-0.499984740745262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0" xfId="0" applyNumberFormat="1" applyFont="1" applyFill="1" applyBorder="1" applyAlignment="1">
      <alignment horizontal="left"/>
    </xf>
    <xf numFmtId="0" fontId="2" fillId="0" borderId="0" xfId="2" applyNumberFormat="1" applyFont="1" applyFill="1" applyBorder="1" applyAlignment="1">
      <alignment horizontal="left"/>
    </xf>
    <xf numFmtId="0" fontId="2" fillId="0" borderId="0" xfId="1" applyNumberFormat="1" applyFont="1" applyFill="1" applyBorder="1" applyAlignment="1">
      <alignment horizontal="left"/>
    </xf>
    <xf numFmtId="0" fontId="2" fillId="0" borderId="0" xfId="0" applyNumberFormat="1" applyFont="1" applyFill="1" applyBorder="1" applyAlignment="1"/>
    <xf numFmtId="0" fontId="3" fillId="0" borderId="0" xfId="0" applyNumberFormat="1" applyFont="1" applyAlignment="1" applyProtection="1">
      <alignment horizontal="left"/>
      <protection hidden="1"/>
    </xf>
    <xf numFmtId="0" fontId="2" fillId="0" borderId="0" xfId="0" applyNumberFormat="1" applyFont="1" applyFill="1" applyBorder="1" applyAlignment="1" applyProtection="1">
      <alignment horizontal="left"/>
      <protection hidden="1"/>
    </xf>
    <xf numFmtId="0" fontId="3" fillId="0" borderId="0" xfId="0" applyNumberFormat="1" applyFont="1" applyAlignment="1" applyProtection="1">
      <alignment horizontal="center"/>
      <protection hidden="1"/>
    </xf>
    <xf numFmtId="166" fontId="5" fillId="2" borderId="0" xfId="2" applyNumberFormat="1" applyFont="1" applyFill="1" applyBorder="1" applyAlignment="1" applyProtection="1">
      <alignment horizontal="right"/>
      <protection hidden="1"/>
    </xf>
    <xf numFmtId="166" fontId="5" fillId="2" borderId="1" xfId="2" applyNumberFormat="1" applyFont="1" applyFill="1" applyBorder="1" applyAlignment="1" applyProtection="1">
      <alignment horizontal="right"/>
      <protection hidden="1"/>
    </xf>
    <xf numFmtId="166" fontId="6" fillId="2" borderId="2" xfId="2" applyNumberFormat="1" applyFont="1" applyFill="1" applyBorder="1" applyAlignment="1" applyProtection="1">
      <alignment horizontal="right"/>
      <protection hidden="1"/>
    </xf>
    <xf numFmtId="166" fontId="7" fillId="4" borderId="3" xfId="2" applyNumberFormat="1" applyFont="1" applyFill="1" applyBorder="1" applyAlignment="1" applyProtection="1">
      <alignment horizontal="right"/>
      <protection hidden="1"/>
    </xf>
    <xf numFmtId="166" fontId="7" fillId="4" borderId="4" xfId="2" applyNumberFormat="1" applyFont="1" applyFill="1" applyBorder="1" applyAlignment="1" applyProtection="1">
      <alignment horizontal="right"/>
      <protection hidden="1"/>
    </xf>
    <xf numFmtId="166" fontId="8" fillId="4" borderId="5" xfId="0" applyNumberFormat="1" applyFont="1" applyFill="1" applyBorder="1" applyAlignment="1" applyProtection="1">
      <alignment horizontal="right"/>
      <protection hidden="1"/>
    </xf>
    <xf numFmtId="166" fontId="12" fillId="7" borderId="6" xfId="2" applyNumberFormat="1" applyFont="1" applyFill="1" applyBorder="1" applyAlignment="1" applyProtection="1">
      <alignment horizontal="right"/>
      <protection hidden="1"/>
    </xf>
    <xf numFmtId="0" fontId="2" fillId="2" borderId="10" xfId="0" applyNumberFormat="1" applyFont="1" applyFill="1" applyBorder="1" applyAlignment="1" applyProtection="1">
      <alignment horizontal="left"/>
      <protection hidden="1"/>
    </xf>
    <xf numFmtId="166" fontId="2" fillId="2" borderId="11" xfId="2" applyNumberFormat="1" applyFont="1" applyFill="1" applyBorder="1" applyAlignment="1" applyProtection="1">
      <alignment horizontal="right"/>
      <protection hidden="1"/>
    </xf>
    <xf numFmtId="166" fontId="2" fillId="2" borderId="12" xfId="2" applyNumberFormat="1" applyFont="1" applyFill="1" applyBorder="1" applyAlignment="1" applyProtection="1">
      <alignment horizontal="right"/>
      <protection hidden="1"/>
    </xf>
    <xf numFmtId="0" fontId="2" fillId="2" borderId="7" xfId="0" applyNumberFormat="1" applyFont="1" applyFill="1" applyBorder="1" applyAlignment="1" applyProtection="1">
      <alignment horizontal="left"/>
      <protection hidden="1"/>
    </xf>
    <xf numFmtId="166" fontId="2" fillId="2" borderId="8" xfId="2" applyNumberFormat="1" applyFont="1" applyFill="1" applyBorder="1" applyAlignment="1" applyProtection="1">
      <alignment horizontal="right"/>
      <protection hidden="1"/>
    </xf>
    <xf numFmtId="166" fontId="2" fillId="2" borderId="9" xfId="2" applyNumberFormat="1" applyFont="1" applyFill="1" applyBorder="1" applyAlignment="1" applyProtection="1">
      <alignment horizontal="right"/>
      <protection hidden="1"/>
    </xf>
    <xf numFmtId="0" fontId="5" fillId="2" borderId="10" xfId="0" applyNumberFormat="1" applyFont="1" applyFill="1" applyBorder="1" applyAlignment="1" applyProtection="1">
      <alignment horizontal="left"/>
      <protection hidden="1"/>
    </xf>
    <xf numFmtId="166" fontId="5" fillId="2" borderId="11" xfId="2" applyNumberFormat="1" applyFont="1" applyFill="1" applyBorder="1" applyAlignment="1" applyProtection="1">
      <alignment horizontal="right"/>
      <protection hidden="1"/>
    </xf>
    <xf numFmtId="166" fontId="5" fillId="2" borderId="12" xfId="2" applyNumberFormat="1" applyFont="1" applyFill="1" applyBorder="1" applyAlignment="1" applyProtection="1">
      <alignment horizontal="right"/>
      <protection hidden="1"/>
    </xf>
    <xf numFmtId="0" fontId="2" fillId="4" borderId="10" xfId="0" applyNumberFormat="1" applyFont="1" applyFill="1" applyBorder="1" applyAlignment="1" applyProtection="1">
      <alignment horizontal="left"/>
      <protection hidden="1"/>
    </xf>
    <xf numFmtId="166" fontId="2" fillId="4" borderId="11" xfId="1" applyNumberFormat="1" applyFont="1" applyFill="1" applyBorder="1" applyAlignment="1" applyProtection="1">
      <alignment horizontal="right"/>
      <protection hidden="1"/>
    </xf>
    <xf numFmtId="166" fontId="2" fillId="4" borderId="13" xfId="1" applyNumberFormat="1" applyFont="1" applyFill="1" applyBorder="1" applyAlignment="1" applyProtection="1">
      <alignment horizontal="right"/>
      <protection hidden="1"/>
    </xf>
    <xf numFmtId="0" fontId="2" fillId="4" borderId="14" xfId="0" applyNumberFormat="1" applyFont="1" applyFill="1" applyBorder="1" applyAlignment="1" applyProtection="1">
      <alignment horizontal="left"/>
      <protection hidden="1"/>
    </xf>
    <xf numFmtId="166" fontId="2" fillId="4" borderId="15" xfId="1" applyNumberFormat="1" applyFont="1" applyFill="1" applyBorder="1" applyAlignment="1" applyProtection="1">
      <alignment horizontal="right"/>
      <protection hidden="1"/>
    </xf>
    <xf numFmtId="166" fontId="2" fillId="4" borderId="16" xfId="1" applyNumberFormat="1" applyFont="1" applyFill="1" applyBorder="1" applyAlignment="1" applyProtection="1">
      <alignment horizontal="right"/>
      <protection hidden="1"/>
    </xf>
    <xf numFmtId="0" fontId="7" fillId="4" borderId="10" xfId="0" applyNumberFormat="1" applyFont="1" applyFill="1" applyBorder="1" applyAlignment="1" applyProtection="1">
      <alignment horizontal="left"/>
      <protection hidden="1"/>
    </xf>
    <xf numFmtId="166" fontId="7" fillId="4" borderId="11" xfId="2" applyNumberFormat="1" applyFont="1" applyFill="1" applyBorder="1" applyAlignment="1" applyProtection="1">
      <alignment horizontal="right"/>
      <protection hidden="1"/>
    </xf>
    <xf numFmtId="166" fontId="7" fillId="4" borderId="13" xfId="2" applyNumberFormat="1" applyFont="1" applyFill="1" applyBorder="1" applyAlignment="1" applyProtection="1">
      <alignment horizontal="right"/>
      <protection hidden="1"/>
    </xf>
    <xf numFmtId="0" fontId="9" fillId="7" borderId="10" xfId="0" applyNumberFormat="1" applyFont="1" applyFill="1" applyBorder="1" applyAlignment="1" applyProtection="1">
      <alignment horizontal="left"/>
      <protection hidden="1"/>
    </xf>
    <xf numFmtId="166" fontId="2" fillId="7" borderId="11" xfId="2" applyNumberFormat="1" applyFont="1" applyFill="1" applyBorder="1" applyAlignment="1" applyProtection="1">
      <alignment horizontal="right"/>
      <protection hidden="1"/>
    </xf>
    <xf numFmtId="166" fontId="2" fillId="7" borderId="18" xfId="2" applyNumberFormat="1" applyFont="1" applyFill="1" applyBorder="1" applyAlignment="1" applyProtection="1">
      <alignment horizontal="right"/>
      <protection hidden="1"/>
    </xf>
    <xf numFmtId="0" fontId="4" fillId="3" borderId="20" xfId="0" applyNumberFormat="1" applyFont="1" applyFill="1" applyBorder="1" applyAlignment="1" applyProtection="1">
      <alignment horizontal="center"/>
      <protection hidden="1"/>
    </xf>
    <xf numFmtId="0" fontId="4" fillId="3" borderId="21" xfId="0" applyNumberFormat="1" applyFont="1" applyFill="1" applyBorder="1" applyAlignment="1" applyProtection="1">
      <alignment horizontal="center"/>
      <protection hidden="1"/>
    </xf>
    <xf numFmtId="0" fontId="4" fillId="3" borderId="19" xfId="0" applyNumberFormat="1" applyFont="1" applyFill="1" applyBorder="1" applyAlignment="1" applyProtection="1">
      <alignment horizontal="center"/>
      <protection hidden="1"/>
    </xf>
    <xf numFmtId="0" fontId="2" fillId="3" borderId="22" xfId="0" applyNumberFormat="1" applyFont="1" applyFill="1" applyBorder="1" applyAlignment="1" applyProtection="1">
      <alignment horizontal="left"/>
      <protection hidden="1"/>
    </xf>
    <xf numFmtId="0" fontId="4" fillId="5" borderId="23" xfId="0" applyNumberFormat="1" applyFont="1" applyFill="1" applyBorder="1" applyAlignment="1" applyProtection="1">
      <alignment horizontal="center"/>
      <protection hidden="1"/>
    </xf>
    <xf numFmtId="0" fontId="4" fillId="5" borderId="24" xfId="0" applyNumberFormat="1" applyFont="1" applyFill="1" applyBorder="1" applyAlignment="1" applyProtection="1">
      <alignment horizontal="center"/>
      <protection hidden="1"/>
    </xf>
    <xf numFmtId="0" fontId="4" fillId="5" borderId="25" xfId="0" applyNumberFormat="1" applyFont="1" applyFill="1" applyBorder="1" applyAlignment="1" applyProtection="1">
      <alignment horizontal="center"/>
      <protection hidden="1"/>
    </xf>
    <xf numFmtId="0" fontId="2" fillId="5" borderId="26" xfId="0" applyNumberFormat="1" applyFont="1" applyFill="1" applyBorder="1" applyAlignment="1" applyProtection="1">
      <alignment horizontal="left"/>
      <protection hidden="1"/>
    </xf>
    <xf numFmtId="0" fontId="2" fillId="6" borderId="27" xfId="0" applyNumberFormat="1" applyFont="1" applyFill="1" applyBorder="1" applyAlignment="1" applyProtection="1">
      <alignment horizontal="left"/>
      <protection hidden="1"/>
    </xf>
    <xf numFmtId="0" fontId="4" fillId="6" borderId="28" xfId="0" applyNumberFormat="1" applyFont="1" applyFill="1" applyBorder="1" applyAlignment="1" applyProtection="1">
      <alignment horizontal="center"/>
      <protection hidden="1"/>
    </xf>
    <xf numFmtId="0" fontId="4" fillId="6" borderId="29" xfId="0" applyNumberFormat="1" applyFont="1" applyFill="1" applyBorder="1" applyAlignment="1" applyProtection="1">
      <alignment horizontal="center"/>
      <protection hidden="1"/>
    </xf>
    <xf numFmtId="0" fontId="4" fillId="6" borderId="30" xfId="0" applyNumberFormat="1" applyFont="1" applyFill="1" applyBorder="1" applyAlignment="1" applyProtection="1">
      <alignment horizontal="center"/>
      <protection hidden="1"/>
    </xf>
    <xf numFmtId="0" fontId="13" fillId="5" borderId="14" xfId="0" applyNumberFormat="1" applyFont="1" applyFill="1" applyBorder="1" applyAlignment="1" applyProtection="1">
      <alignment horizontal="left"/>
      <protection hidden="1"/>
    </xf>
    <xf numFmtId="0" fontId="13" fillId="3" borderId="1" xfId="0" applyNumberFormat="1" applyFont="1" applyFill="1" applyBorder="1" applyAlignment="1" applyProtection="1">
      <alignment horizontal="left"/>
      <protection hidden="1"/>
    </xf>
    <xf numFmtId="0" fontId="13" fillId="6" borderId="17" xfId="0" applyNumberFormat="1" applyFont="1" applyFill="1" applyBorder="1" applyAlignment="1" applyProtection="1">
      <alignment horizontal="left"/>
      <protection hidden="1"/>
    </xf>
    <xf numFmtId="0" fontId="14" fillId="0" borderId="0" xfId="0" applyFont="1" applyProtection="1"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7" fillId="10" borderId="32" xfId="0" applyFont="1" applyFill="1" applyBorder="1" applyProtection="1">
      <protection hidden="1"/>
    </xf>
    <xf numFmtId="0" fontId="17" fillId="2" borderId="0" xfId="0" applyFont="1" applyFill="1" applyBorder="1" applyProtection="1">
      <protection hidden="1"/>
    </xf>
    <xf numFmtId="0" fontId="17" fillId="10" borderId="0" xfId="0" applyFont="1" applyFill="1" applyBorder="1" applyProtection="1">
      <protection hidden="1"/>
    </xf>
    <xf numFmtId="0" fontId="17" fillId="10" borderId="33" xfId="0" applyFont="1" applyFill="1" applyBorder="1" applyProtection="1">
      <protection hidden="1"/>
    </xf>
    <xf numFmtId="0" fontId="17" fillId="2" borderId="33" xfId="0" applyFont="1" applyFill="1" applyBorder="1" applyProtection="1">
      <protection hidden="1"/>
    </xf>
    <xf numFmtId="44" fontId="2" fillId="0" borderId="0" xfId="2" applyNumberFormat="1" applyFont="1" applyFill="1" applyBorder="1" applyAlignment="1">
      <alignment horizontal="left"/>
    </xf>
    <xf numFmtId="0" fontId="18" fillId="11" borderId="0" xfId="0" applyFont="1" applyFill="1" applyAlignment="1">
      <alignment vertical="center"/>
    </xf>
    <xf numFmtId="0" fontId="2" fillId="2" borderId="10" xfId="0" applyNumberFormat="1" applyFont="1" applyFill="1" applyBorder="1" applyAlignment="1">
      <alignment horizontal="left"/>
    </xf>
    <xf numFmtId="0" fontId="2" fillId="4" borderId="0" xfId="0" applyNumberFormat="1" applyFont="1" applyFill="1" applyBorder="1" applyAlignment="1">
      <alignment horizontal="left"/>
    </xf>
    <xf numFmtId="0" fontId="21" fillId="7" borderId="0" xfId="0" applyNumberFormat="1" applyFont="1" applyFill="1" applyBorder="1" applyAlignment="1">
      <alignment horizontal="left"/>
    </xf>
    <xf numFmtId="166" fontId="2" fillId="4" borderId="11" xfId="2" applyNumberFormat="1" applyFont="1" applyFill="1" applyBorder="1" applyAlignment="1">
      <alignment horizontal="right"/>
    </xf>
    <xf numFmtId="166" fontId="2" fillId="2" borderId="10" xfId="2" applyNumberFormat="1" applyFont="1" applyFill="1" applyBorder="1" applyAlignment="1">
      <alignment horizontal="right"/>
    </xf>
    <xf numFmtId="166" fontId="2" fillId="2" borderId="0" xfId="2" applyNumberFormat="1" applyFont="1" applyFill="1" applyBorder="1" applyAlignment="1">
      <alignment horizontal="right"/>
    </xf>
    <xf numFmtId="166" fontId="21" fillId="7" borderId="34" xfId="2" applyNumberFormat="1" applyFont="1" applyFill="1" applyBorder="1" applyAlignment="1">
      <alignment horizontal="right"/>
    </xf>
    <xf numFmtId="166" fontId="2" fillId="7" borderId="34" xfId="2" applyNumberFormat="1" applyFont="1" applyFill="1" applyBorder="1" applyAlignment="1">
      <alignment horizontal="right"/>
    </xf>
    <xf numFmtId="0" fontId="25" fillId="5" borderId="35" xfId="0" applyNumberFormat="1" applyFont="1" applyFill="1" applyBorder="1" applyAlignment="1">
      <alignment horizontal="left"/>
    </xf>
    <xf numFmtId="0" fontId="4" fillId="5" borderId="36" xfId="0" applyNumberFormat="1" applyFont="1" applyFill="1" applyBorder="1" applyAlignment="1">
      <alignment horizontal="center"/>
    </xf>
    <xf numFmtId="0" fontId="2" fillId="5" borderId="26" xfId="0" applyNumberFormat="1" applyFont="1" applyFill="1" applyBorder="1" applyAlignment="1">
      <alignment horizontal="left"/>
    </xf>
    <xf numFmtId="0" fontId="4" fillId="5" borderId="25" xfId="0" applyNumberFormat="1" applyFont="1" applyFill="1" applyBorder="1" applyAlignment="1">
      <alignment horizontal="center"/>
    </xf>
    <xf numFmtId="166" fontId="2" fillId="4" borderId="34" xfId="2" applyNumberFormat="1" applyFont="1" applyFill="1" applyBorder="1" applyAlignment="1">
      <alignment horizontal="right"/>
    </xf>
    <xf numFmtId="166" fontId="7" fillId="4" borderId="37" xfId="2" applyNumberFormat="1" applyFont="1" applyFill="1" applyBorder="1" applyAlignment="1">
      <alignment horizontal="right"/>
    </xf>
    <xf numFmtId="166" fontId="7" fillId="4" borderId="3" xfId="2" applyNumberFormat="1" applyFont="1" applyFill="1" applyBorder="1" applyAlignment="1">
      <alignment horizontal="right"/>
    </xf>
    <xf numFmtId="166" fontId="8" fillId="4" borderId="5" xfId="2" applyNumberFormat="1" applyFont="1" applyFill="1" applyBorder="1" applyAlignment="1">
      <alignment horizontal="right"/>
    </xf>
    <xf numFmtId="0" fontId="7" fillId="4" borderId="38" xfId="0" applyNumberFormat="1" applyFont="1" applyFill="1" applyBorder="1" applyAlignment="1">
      <alignment horizontal="left"/>
    </xf>
    <xf numFmtId="166" fontId="7" fillId="4" borderId="39" xfId="2" applyNumberFormat="1" applyFont="1" applyFill="1" applyBorder="1" applyAlignment="1">
      <alignment horizontal="right"/>
    </xf>
    <xf numFmtId="166" fontId="7" fillId="4" borderId="40" xfId="2" applyNumberFormat="1" applyFont="1" applyFill="1" applyBorder="1" applyAlignment="1">
      <alignment horizontal="right"/>
    </xf>
    <xf numFmtId="0" fontId="4" fillId="3" borderId="41" xfId="0" applyNumberFormat="1" applyFont="1" applyFill="1" applyBorder="1" applyAlignment="1">
      <alignment horizontal="center"/>
    </xf>
    <xf numFmtId="166" fontId="23" fillId="2" borderId="42" xfId="2" applyNumberFormat="1" applyFont="1" applyFill="1" applyBorder="1" applyAlignment="1">
      <alignment horizontal="right"/>
    </xf>
    <xf numFmtId="0" fontId="22" fillId="2" borderId="44" xfId="0" applyNumberFormat="1" applyFont="1" applyFill="1" applyBorder="1" applyAlignment="1">
      <alignment horizontal="left"/>
    </xf>
    <xf numFmtId="166" fontId="22" fillId="2" borderId="44" xfId="2" applyNumberFormat="1" applyFont="1" applyFill="1" applyBorder="1" applyAlignment="1">
      <alignment horizontal="right"/>
    </xf>
    <xf numFmtId="166" fontId="22" fillId="2" borderId="43" xfId="2" applyNumberFormat="1" applyFont="1" applyFill="1" applyBorder="1" applyAlignment="1">
      <alignment horizontal="right"/>
    </xf>
    <xf numFmtId="166" fontId="22" fillId="2" borderId="45" xfId="2" applyNumberFormat="1" applyFont="1" applyFill="1" applyBorder="1" applyAlignment="1">
      <alignment horizontal="right"/>
    </xf>
    <xf numFmtId="166" fontId="22" fillId="2" borderId="46" xfId="2" applyNumberFormat="1" applyFont="1" applyFill="1" applyBorder="1" applyAlignment="1">
      <alignment horizontal="right"/>
    </xf>
    <xf numFmtId="166" fontId="22" fillId="2" borderId="47" xfId="2" applyNumberFormat="1" applyFont="1" applyFill="1" applyBorder="1" applyAlignment="1">
      <alignment horizontal="right"/>
    </xf>
    <xf numFmtId="0" fontId="4" fillId="3" borderId="20" xfId="0" applyNumberFormat="1" applyFont="1" applyFill="1" applyBorder="1" applyAlignment="1">
      <alignment horizontal="center"/>
    </xf>
    <xf numFmtId="0" fontId="4" fillId="3" borderId="49" xfId="0" applyNumberFormat="1" applyFont="1" applyFill="1" applyBorder="1" applyAlignment="1">
      <alignment horizontal="center"/>
    </xf>
    <xf numFmtId="0" fontId="4" fillId="3" borderId="48" xfId="0" applyNumberFormat="1" applyFont="1" applyFill="1" applyBorder="1" applyAlignment="1">
      <alignment horizontal="center"/>
    </xf>
    <xf numFmtId="0" fontId="25" fillId="3" borderId="50" xfId="0" applyNumberFormat="1" applyFont="1" applyFill="1" applyBorder="1" applyAlignment="1">
      <alignment horizontal="left"/>
    </xf>
    <xf numFmtId="0" fontId="0" fillId="3" borderId="43" xfId="0" applyFill="1" applyBorder="1"/>
    <xf numFmtId="166" fontId="24" fillId="7" borderId="6" xfId="2" applyNumberFormat="1" applyFont="1" applyFill="1" applyBorder="1" applyAlignment="1">
      <alignment horizontal="right"/>
    </xf>
    <xf numFmtId="0" fontId="4" fillId="6" borderId="30" xfId="0" applyNumberFormat="1" applyFont="1" applyFill="1" applyBorder="1" applyAlignment="1">
      <alignment horizontal="center"/>
    </xf>
    <xf numFmtId="0" fontId="4" fillId="6" borderId="51" xfId="0" applyNumberFormat="1" applyFont="1" applyFill="1" applyBorder="1" applyAlignment="1">
      <alignment horizontal="center"/>
    </xf>
    <xf numFmtId="0" fontId="4" fillId="6" borderId="29" xfId="0" applyNumberFormat="1" applyFont="1" applyFill="1" applyBorder="1" applyAlignment="1">
      <alignment horizontal="center"/>
    </xf>
    <xf numFmtId="0" fontId="25" fillId="6" borderId="17" xfId="0" applyNumberFormat="1" applyFont="1" applyFill="1" applyBorder="1" applyAlignment="1">
      <alignment horizontal="left"/>
    </xf>
    <xf numFmtId="0" fontId="2" fillId="6" borderId="27" xfId="0" applyNumberFormat="1" applyFont="1" applyFill="1" applyBorder="1" applyAlignment="1">
      <alignment horizontal="left"/>
    </xf>
    <xf numFmtId="0" fontId="10" fillId="8" borderId="0" xfId="0" applyNumberFormat="1" applyFont="1" applyFill="1" applyBorder="1" applyAlignment="1" applyProtection="1">
      <alignment horizontal="center"/>
      <protection hidden="1"/>
    </xf>
    <xf numFmtId="0" fontId="11" fillId="0" borderId="31" xfId="0" applyNumberFormat="1" applyFont="1" applyFill="1" applyBorder="1" applyAlignment="1" applyProtection="1">
      <alignment horizontal="center"/>
      <protection hidden="1"/>
    </xf>
    <xf numFmtId="0" fontId="26" fillId="0" borderId="31" xfId="0" applyFont="1" applyBorder="1" applyAlignment="1">
      <alignment horizontal="center"/>
    </xf>
    <xf numFmtId="0" fontId="18" fillId="8" borderId="0" xfId="0" applyFont="1" applyFill="1" applyAlignment="1">
      <alignment horizontal="center" vertical="center"/>
    </xf>
    <xf numFmtId="0" fontId="19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5" fillId="3" borderId="0" xfId="0" applyFont="1" applyFill="1" applyAlignment="1" applyProtection="1">
      <alignment horizontal="left" vertical="center"/>
      <protection hidden="1"/>
    </xf>
    <xf numFmtId="0" fontId="16" fillId="9" borderId="0" xfId="0" applyFont="1" applyFill="1" applyAlignment="1" applyProtection="1">
      <alignment horizontal="left"/>
      <protection hidden="1"/>
    </xf>
  </cellXfs>
  <cellStyles count="3">
    <cellStyle name="Milliers" xfId="1" builtinId="3"/>
    <cellStyle name="Monétaire" xfId="2" builtinId="4"/>
    <cellStyle name="Normal" xfId="0" builtinId="0"/>
  </cellStyles>
  <dxfs count="3">
    <dxf>
      <font>
        <color theme="5"/>
      </font>
    </dxf>
    <dxf>
      <font>
        <color theme="5"/>
      </font>
    </dxf>
    <dxf>
      <font>
        <b/>
        <i val="0"/>
        <color rgb="FF9C0006"/>
      </font>
    </dxf>
  </dxfs>
  <tableStyles count="0" defaultTableStyle="TableStyleMedium9" defaultPivotStyle="PivotStyleLight16"/>
  <colors>
    <mruColors>
      <color rgb="FFECF2F8"/>
      <color rgb="FFEBE3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1">
                    <a:lumMod val="75000"/>
                  </a:schemeClr>
                </a:solidFill>
              </a:defRPr>
            </a:pPr>
            <a:r>
              <a:rPr lang="en-US" sz="1400">
                <a:solidFill>
                  <a:schemeClr val="accent1">
                    <a:lumMod val="75000"/>
                  </a:schemeClr>
                </a:solidFill>
              </a:rPr>
              <a:t>Ventes</a:t>
            </a:r>
            <a:r>
              <a:rPr lang="en-US">
                <a:solidFill>
                  <a:schemeClr val="accent1">
                    <a:lumMod val="75000"/>
                  </a:schemeClr>
                </a:solidFill>
              </a:rPr>
              <a:t> </a:t>
            </a:r>
            <a:r>
              <a:rPr lang="en-US" sz="1400">
                <a:solidFill>
                  <a:schemeClr val="accent1">
                    <a:lumMod val="75000"/>
                  </a:schemeClr>
                </a:solidFill>
              </a:rPr>
              <a:t>2009</a:t>
            </a:r>
            <a:endParaRPr lang="en-US">
              <a:solidFill>
                <a:schemeClr val="accent1">
                  <a:lumMod val="75000"/>
                </a:schemeClr>
              </a:solidFill>
            </a:endParaRP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'Résultat attendu'!$C$8</c:f>
              <c:strCache>
                <c:ptCount val="1"/>
                <c:pt idx="0">
                  <c:v>Trimestre 1</c:v>
                </c:pt>
              </c:strCache>
            </c:strRef>
          </c:tx>
          <c:invertIfNegative val="0"/>
          <c:cat>
            <c:strRef>
              <c:f>'Résultat attendu'!$B$9:$B$13</c:f>
              <c:strCache>
                <c:ptCount val="5"/>
                <c:pt idx="0">
                  <c:v>Location</c:v>
                </c:pt>
                <c:pt idx="1">
                  <c:v>Courantes</c:v>
                </c:pt>
                <c:pt idx="2">
                  <c:v>Paie</c:v>
                </c:pt>
                <c:pt idx="3">
                  <c:v>Assurances</c:v>
                </c:pt>
                <c:pt idx="4">
                  <c:v>Fournitures</c:v>
                </c:pt>
              </c:strCache>
            </c:strRef>
          </c:cat>
          <c:val>
            <c:numRef>
              <c:f>'Résultat attendu'!$C$9:$C$13</c:f>
              <c:numCache>
                <c:formatCode>#\ ##0.00\ "$"</c:formatCode>
                <c:ptCount val="5"/>
                <c:pt idx="0">
                  <c:v>1988.5</c:v>
                </c:pt>
                <c:pt idx="1">
                  <c:v>5215</c:v>
                </c:pt>
                <c:pt idx="2">
                  <c:v>7832.97</c:v>
                </c:pt>
                <c:pt idx="3">
                  <c:v>2337.81</c:v>
                </c:pt>
                <c:pt idx="4">
                  <c:v>4336.37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6-4008-A6E3-B029413A2318}"/>
            </c:ext>
          </c:extLst>
        </c:ser>
        <c:ser>
          <c:idx val="1"/>
          <c:order val="1"/>
          <c:tx>
            <c:strRef>
              <c:f>'Résultat attendu'!$D$8</c:f>
              <c:strCache>
                <c:ptCount val="1"/>
                <c:pt idx="0">
                  <c:v>Trimestre 2</c:v>
                </c:pt>
              </c:strCache>
            </c:strRef>
          </c:tx>
          <c:invertIfNegative val="0"/>
          <c:cat>
            <c:strRef>
              <c:f>'Résultat attendu'!$B$9:$B$13</c:f>
              <c:strCache>
                <c:ptCount val="5"/>
                <c:pt idx="0">
                  <c:v>Location</c:v>
                </c:pt>
                <c:pt idx="1">
                  <c:v>Courantes</c:v>
                </c:pt>
                <c:pt idx="2">
                  <c:v>Paie</c:v>
                </c:pt>
                <c:pt idx="3">
                  <c:v>Assurances</c:v>
                </c:pt>
                <c:pt idx="4">
                  <c:v>Fournitures</c:v>
                </c:pt>
              </c:strCache>
            </c:strRef>
          </c:cat>
          <c:val>
            <c:numRef>
              <c:f>'Résultat attendu'!$D$9:$D$13</c:f>
              <c:numCache>
                <c:formatCode>#\ ##0.00\ "$"</c:formatCode>
                <c:ptCount val="5"/>
                <c:pt idx="0">
                  <c:v>2897.35</c:v>
                </c:pt>
                <c:pt idx="1">
                  <c:v>8309.0499999999993</c:v>
                </c:pt>
                <c:pt idx="2">
                  <c:v>11299.87</c:v>
                </c:pt>
                <c:pt idx="3">
                  <c:v>2137.81</c:v>
                </c:pt>
                <c:pt idx="4">
                  <c:v>1790.84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6-4008-A6E3-B029413A2318}"/>
            </c:ext>
          </c:extLst>
        </c:ser>
        <c:ser>
          <c:idx val="2"/>
          <c:order val="2"/>
          <c:tx>
            <c:strRef>
              <c:f>'Résultat attendu'!$E$8</c:f>
              <c:strCache>
                <c:ptCount val="1"/>
                <c:pt idx="0">
                  <c:v>Trimestre 3</c:v>
                </c:pt>
              </c:strCache>
            </c:strRef>
          </c:tx>
          <c:invertIfNegative val="0"/>
          <c:cat>
            <c:strRef>
              <c:f>'Résultat attendu'!$B$9:$B$13</c:f>
              <c:strCache>
                <c:ptCount val="5"/>
                <c:pt idx="0">
                  <c:v>Location</c:v>
                </c:pt>
                <c:pt idx="1">
                  <c:v>Courantes</c:v>
                </c:pt>
                <c:pt idx="2">
                  <c:v>Paie</c:v>
                </c:pt>
                <c:pt idx="3">
                  <c:v>Assurances</c:v>
                </c:pt>
                <c:pt idx="4">
                  <c:v>Fournitures</c:v>
                </c:pt>
              </c:strCache>
            </c:strRef>
          </c:cat>
          <c:val>
            <c:numRef>
              <c:f>'Résultat attendu'!$E$9:$E$13</c:f>
              <c:numCache>
                <c:formatCode>#\ ##0.00\ "$"</c:formatCode>
                <c:ptCount val="5"/>
                <c:pt idx="0">
                  <c:v>5223.25</c:v>
                </c:pt>
                <c:pt idx="1">
                  <c:v>4287.9799999999996</c:v>
                </c:pt>
                <c:pt idx="2">
                  <c:v>8264.81</c:v>
                </c:pt>
                <c:pt idx="3">
                  <c:v>1237.81</c:v>
                </c:pt>
                <c:pt idx="4">
                  <c:v>1206.77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96-4008-A6E3-B029413A2318}"/>
            </c:ext>
          </c:extLst>
        </c:ser>
        <c:ser>
          <c:idx val="3"/>
          <c:order val="3"/>
          <c:tx>
            <c:strRef>
              <c:f>'Résultat attendu'!$F$8</c:f>
              <c:strCache>
                <c:ptCount val="1"/>
                <c:pt idx="0">
                  <c:v>Trimestre 4</c:v>
                </c:pt>
              </c:strCache>
            </c:strRef>
          </c:tx>
          <c:invertIfNegative val="0"/>
          <c:cat>
            <c:strRef>
              <c:f>'Résultat attendu'!$B$9:$B$13</c:f>
              <c:strCache>
                <c:ptCount val="5"/>
                <c:pt idx="0">
                  <c:v>Location</c:v>
                </c:pt>
                <c:pt idx="1">
                  <c:v>Courantes</c:v>
                </c:pt>
                <c:pt idx="2">
                  <c:v>Paie</c:v>
                </c:pt>
                <c:pt idx="3">
                  <c:v>Assurances</c:v>
                </c:pt>
                <c:pt idx="4">
                  <c:v>Fournitures</c:v>
                </c:pt>
              </c:strCache>
            </c:strRef>
          </c:cat>
          <c:val>
            <c:numRef>
              <c:f>'Résultat attendu'!$F$9:$F$13</c:f>
              <c:numCache>
                <c:formatCode>#\ ##0.00\ "$"</c:formatCode>
                <c:ptCount val="5"/>
                <c:pt idx="0">
                  <c:v>7996.36</c:v>
                </c:pt>
                <c:pt idx="1">
                  <c:v>9352.64</c:v>
                </c:pt>
                <c:pt idx="2">
                  <c:v>13226.47</c:v>
                </c:pt>
                <c:pt idx="3">
                  <c:v>3237.81</c:v>
                </c:pt>
                <c:pt idx="4">
                  <c:v>1628.13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96-4008-A6E3-B029413A2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1950080"/>
        <c:axId val="111964160"/>
        <c:axId val="96150400"/>
      </c:bar3DChart>
      <c:catAx>
        <c:axId val="111950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11964160"/>
        <c:crosses val="autoZero"/>
        <c:auto val="1"/>
        <c:lblAlgn val="ctr"/>
        <c:lblOffset val="100"/>
        <c:noMultiLvlLbl val="0"/>
      </c:catAx>
      <c:valAx>
        <c:axId val="111964160"/>
        <c:scaling>
          <c:orientation val="minMax"/>
        </c:scaling>
        <c:delete val="0"/>
        <c:axPos val="l"/>
        <c:majorGridlines/>
        <c:numFmt formatCode="#,##0\ &quot;$&quot;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11950080"/>
        <c:crosses val="autoZero"/>
        <c:crossBetween val="between"/>
      </c:valAx>
      <c:serAx>
        <c:axId val="961504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11964160"/>
        <c:crosses val="autoZero"/>
      </c:serAx>
    </c:plotArea>
    <c:legend>
      <c:legendPos val="r"/>
      <c:layout>
        <c:manualLayout>
          <c:xMode val="edge"/>
          <c:yMode val="edge"/>
          <c:x val="0.84963630129437562"/>
          <c:y val="0.17648814618281425"/>
          <c:w val="0.1131418052977638"/>
          <c:h val="0.26194653657423256"/>
        </c:manualLayout>
      </c:layout>
      <c:overlay val="0"/>
      <c:txPr>
        <a:bodyPr/>
        <a:lstStyle/>
        <a:p>
          <a:pPr>
            <a:defRPr sz="700"/>
          </a:pPr>
          <a:endParaRPr lang="fr-FR"/>
        </a:p>
      </c:txPr>
    </c:legend>
    <c:plotVisOnly val="1"/>
    <c:dispBlanksAs val="gap"/>
    <c:showDLblsOverMax val="0"/>
  </c:chart>
  <c:spPr>
    <a:ln w="12700">
      <a:solidFill>
        <a:schemeClr val="accent1">
          <a:lumMod val="60000"/>
          <a:lumOff val="40000"/>
        </a:schemeClr>
      </a:solidFill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chemeClr val="accent2">
                    <a:lumMod val="75000"/>
                  </a:schemeClr>
                </a:solidFill>
              </a:defRPr>
            </a:pPr>
            <a:r>
              <a:rPr lang="en-US" sz="1400">
                <a:solidFill>
                  <a:schemeClr val="accent2">
                    <a:lumMod val="75000"/>
                  </a:schemeClr>
                </a:solidFill>
              </a:rPr>
              <a:t>Dépenses 2009</a:t>
            </a:r>
          </a:p>
        </c:rich>
      </c:tx>
      <c:overlay val="0"/>
    </c:title>
    <c:autoTitleDeleted val="0"/>
    <c:view3D>
      <c:rotX val="15"/>
      <c:rotY val="2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'Résultat attendu'!$C$17</c:f>
              <c:strCache>
                <c:ptCount val="1"/>
                <c:pt idx="0">
                  <c:v>Trimestre 1</c:v>
                </c:pt>
              </c:strCache>
            </c:strRef>
          </c:tx>
          <c:invertIfNegative val="0"/>
          <c:cat>
            <c:strRef>
              <c:f>'Résultat attendu'!$B$18:$B$20</c:f>
              <c:strCache>
                <c:ptCount val="3"/>
                <c:pt idx="0">
                  <c:v>Résidentiel</c:v>
                </c:pt>
                <c:pt idx="1">
                  <c:v>Automobile</c:v>
                </c:pt>
                <c:pt idx="2">
                  <c:v>Vie</c:v>
                </c:pt>
              </c:strCache>
            </c:strRef>
          </c:cat>
          <c:val>
            <c:numRef>
              <c:f>'Résultat attendu'!$C$18:$C$20</c:f>
              <c:numCache>
                <c:formatCode>#\ ##0.00\ "$"</c:formatCode>
                <c:ptCount val="3"/>
                <c:pt idx="0">
                  <c:v>12462.87</c:v>
                </c:pt>
                <c:pt idx="1">
                  <c:v>2533.2399999999998</c:v>
                </c:pt>
                <c:pt idx="2">
                  <c:v>8755.24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A-4729-854C-336B5C54F838}"/>
            </c:ext>
          </c:extLst>
        </c:ser>
        <c:ser>
          <c:idx val="1"/>
          <c:order val="1"/>
          <c:tx>
            <c:strRef>
              <c:f>'Résultat attendu'!$D$17</c:f>
              <c:strCache>
                <c:ptCount val="1"/>
                <c:pt idx="0">
                  <c:v>Trimestre 2</c:v>
                </c:pt>
              </c:strCache>
            </c:strRef>
          </c:tx>
          <c:invertIfNegative val="0"/>
          <c:cat>
            <c:strRef>
              <c:f>'Résultat attendu'!$B$18:$B$20</c:f>
              <c:strCache>
                <c:ptCount val="3"/>
                <c:pt idx="0">
                  <c:v>Résidentiel</c:v>
                </c:pt>
                <c:pt idx="1">
                  <c:v>Automobile</c:v>
                </c:pt>
                <c:pt idx="2">
                  <c:v>Vie</c:v>
                </c:pt>
              </c:strCache>
            </c:strRef>
          </c:cat>
          <c:val>
            <c:numRef>
              <c:f>'Résultat attendu'!$D$18:$D$20</c:f>
              <c:numCache>
                <c:formatCode>#\ ##0.00\ "$"</c:formatCode>
                <c:ptCount val="3"/>
                <c:pt idx="0">
                  <c:v>8256.9699999999993</c:v>
                </c:pt>
                <c:pt idx="1">
                  <c:v>5855.47</c:v>
                </c:pt>
                <c:pt idx="2">
                  <c:v>7562.22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5A-4729-854C-336B5C54F838}"/>
            </c:ext>
          </c:extLst>
        </c:ser>
        <c:ser>
          <c:idx val="2"/>
          <c:order val="2"/>
          <c:tx>
            <c:strRef>
              <c:f>'Résultat attendu'!$E$17</c:f>
              <c:strCache>
                <c:ptCount val="1"/>
                <c:pt idx="0">
                  <c:v>Trimestre 3</c:v>
                </c:pt>
              </c:strCache>
            </c:strRef>
          </c:tx>
          <c:invertIfNegative val="0"/>
          <c:cat>
            <c:strRef>
              <c:f>'Résultat attendu'!$B$18:$B$20</c:f>
              <c:strCache>
                <c:ptCount val="3"/>
                <c:pt idx="0">
                  <c:v>Résidentiel</c:v>
                </c:pt>
                <c:pt idx="1">
                  <c:v>Automobile</c:v>
                </c:pt>
                <c:pt idx="2">
                  <c:v>Vie</c:v>
                </c:pt>
              </c:strCache>
            </c:strRef>
          </c:cat>
          <c:val>
            <c:numRef>
              <c:f>'Résultat attendu'!$E$18:$E$20</c:f>
              <c:numCache>
                <c:formatCode>#\ ##0.00\ "$"</c:formatCode>
                <c:ptCount val="3"/>
                <c:pt idx="0">
                  <c:v>10884.65</c:v>
                </c:pt>
                <c:pt idx="1">
                  <c:v>8525.14</c:v>
                </c:pt>
                <c:pt idx="2">
                  <c:v>5221.5600000000004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5A-4729-854C-336B5C54F838}"/>
            </c:ext>
          </c:extLst>
        </c:ser>
        <c:ser>
          <c:idx val="3"/>
          <c:order val="3"/>
          <c:tx>
            <c:strRef>
              <c:f>'Résultat attendu'!$F$17</c:f>
              <c:strCache>
                <c:ptCount val="1"/>
                <c:pt idx="0">
                  <c:v>Trimestre 4</c:v>
                </c:pt>
              </c:strCache>
            </c:strRef>
          </c:tx>
          <c:invertIfNegative val="0"/>
          <c:cat>
            <c:strRef>
              <c:f>'Résultat attendu'!$B$18:$B$20</c:f>
              <c:strCache>
                <c:ptCount val="3"/>
                <c:pt idx="0">
                  <c:v>Résidentiel</c:v>
                </c:pt>
                <c:pt idx="1">
                  <c:v>Automobile</c:v>
                </c:pt>
                <c:pt idx="2">
                  <c:v>Vie</c:v>
                </c:pt>
              </c:strCache>
            </c:strRef>
          </c:cat>
          <c:val>
            <c:numRef>
              <c:f>'Résultat attendu'!$F$18:$F$20</c:f>
              <c:numCache>
                <c:formatCode>#\ ##0.00\ "$"</c:formatCode>
                <c:ptCount val="3"/>
                <c:pt idx="0">
                  <c:v>18995.599999999999</c:v>
                </c:pt>
                <c:pt idx="1">
                  <c:v>11253.21</c:v>
                </c:pt>
                <c:pt idx="2">
                  <c:v>3256.47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5A-4729-854C-336B5C54F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13385472"/>
        <c:axId val="113387008"/>
        <c:axId val="0"/>
      </c:bar3DChart>
      <c:catAx>
        <c:axId val="113385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13387008"/>
        <c:crosses val="autoZero"/>
        <c:auto val="1"/>
        <c:lblAlgn val="ctr"/>
        <c:lblOffset val="100"/>
        <c:noMultiLvlLbl val="0"/>
      </c:catAx>
      <c:valAx>
        <c:axId val="113387008"/>
        <c:scaling>
          <c:orientation val="minMax"/>
        </c:scaling>
        <c:delete val="0"/>
        <c:axPos val="l"/>
        <c:majorGridlines/>
        <c:numFmt formatCode="#,##0\ &quot;$&quot;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133854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344538024519111"/>
          <c:y val="0.42589198409022411"/>
          <c:w val="0.12227191933286817"/>
          <c:h val="0.27001771837343874"/>
        </c:manualLayout>
      </c:layout>
      <c:overlay val="0"/>
      <c:txPr>
        <a:bodyPr/>
        <a:lstStyle/>
        <a:p>
          <a:pPr>
            <a:defRPr sz="700"/>
          </a:pPr>
          <a:endParaRPr lang="fr-FR"/>
        </a:p>
      </c:txPr>
    </c:legend>
    <c:plotVisOnly val="1"/>
    <c:dispBlanksAs val="gap"/>
    <c:showDLblsOverMax val="0"/>
  </c:chart>
  <c:spPr>
    <a:ln w="12700">
      <a:solidFill>
        <a:schemeClr val="accent2">
          <a:lumMod val="60000"/>
          <a:lumOff val="40000"/>
        </a:schemeClr>
      </a:solidFill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/>
          <a:lstStyle/>
          <a:p>
            <a:pPr>
              <a:defRPr sz="1400">
                <a:solidFill>
                  <a:schemeClr val="accent4">
                    <a:lumMod val="75000"/>
                  </a:schemeClr>
                </a:solidFill>
              </a:defRPr>
            </a:pPr>
            <a:r>
              <a:rPr lang="en-US" sz="1400">
                <a:solidFill>
                  <a:schemeClr val="accent4">
                    <a:lumMod val="75000"/>
                  </a:schemeClr>
                </a:solidFill>
              </a:rPr>
              <a:t>Croissance</a:t>
            </a:r>
            <a:r>
              <a:rPr lang="en-US" sz="1400" baseline="0">
                <a:solidFill>
                  <a:schemeClr val="accent4">
                    <a:lumMod val="75000"/>
                  </a:schemeClr>
                </a:solidFill>
              </a:rPr>
              <a:t> 2009</a:t>
            </a:r>
            <a:endParaRPr lang="en-US" sz="1400">
              <a:solidFill>
                <a:schemeClr val="accent4">
                  <a:lumMod val="75000"/>
                </a:schemeClr>
              </a:solidFill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'Résultat attendu'!$B$25</c:f>
              <c:strCache>
                <c:ptCount val="1"/>
                <c:pt idx="0">
                  <c:v>Total</c:v>
                </c:pt>
              </c:strCache>
            </c:strRef>
          </c:tx>
          <c:marker>
            <c:symbol val="diamond"/>
            <c:size val="7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cat>
            <c:strRef>
              <c:f>'Résultat attendu'!$C$24:$F$24</c:f>
              <c:strCache>
                <c:ptCount val="4"/>
                <c:pt idx="0">
                  <c:v>Trimestre 1</c:v>
                </c:pt>
                <c:pt idx="1">
                  <c:v>Trimestre 2</c:v>
                </c:pt>
                <c:pt idx="2">
                  <c:v>Trimestre 3</c:v>
                </c:pt>
                <c:pt idx="3">
                  <c:v>Trimestre 4</c:v>
                </c:pt>
              </c:strCache>
            </c:strRef>
          </c:cat>
          <c:val>
            <c:numRef>
              <c:f>'Résultat attendu'!$C$25:$F$25</c:f>
              <c:numCache>
                <c:formatCode>#\ ##0.00\ "$"</c:formatCode>
                <c:ptCount val="4"/>
                <c:pt idx="0">
                  <c:v>-2040.6999999999971</c:v>
                </c:pt>
                <c:pt idx="1">
                  <c:v>4760.260000000002</c:v>
                </c:pt>
                <c:pt idx="2">
                  <c:v>-4410.7299999999996</c:v>
                </c:pt>
                <c:pt idx="3">
                  <c:v>1936.1299999999974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4-4C51-9207-B37BE1AE2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15296"/>
        <c:axId val="113417216"/>
      </c:lineChart>
      <c:catAx>
        <c:axId val="113415296"/>
        <c:scaling>
          <c:orientation val="minMax"/>
        </c:scaling>
        <c:delete val="0"/>
        <c:axPos val="b"/>
        <c:numFmt formatCode="General" sourceLinked="0"/>
        <c:majorTickMark val="cross"/>
        <c:minorTickMark val="cross"/>
        <c:tickLblPos val="low"/>
        <c:txPr>
          <a:bodyPr/>
          <a:lstStyle/>
          <a:p>
            <a:pPr>
              <a:defRPr sz="700"/>
            </a:pPr>
            <a:endParaRPr lang="fr-FR"/>
          </a:p>
        </c:txPr>
        <c:crossAx val="113417216"/>
        <c:crosses val="autoZero"/>
        <c:auto val="1"/>
        <c:lblAlgn val="ctr"/>
        <c:lblOffset val="100"/>
        <c:noMultiLvlLbl val="0"/>
      </c:catAx>
      <c:valAx>
        <c:axId val="113417216"/>
        <c:scaling>
          <c:orientation val="minMax"/>
        </c:scaling>
        <c:delete val="0"/>
        <c:axPos val="l"/>
        <c:majorGridlines/>
        <c:numFmt formatCode="#,##0\ &quot;$&quot;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13415296"/>
        <c:crosses val="autoZero"/>
        <c:crossBetween val="between"/>
      </c:valAx>
    </c:plotArea>
    <c:plotVisOnly val="1"/>
    <c:dispBlanksAs val="gap"/>
    <c:showDLblsOverMax val="0"/>
  </c:chart>
  <c:spPr>
    <a:ln w="12700">
      <a:solidFill>
        <a:schemeClr val="accent4">
          <a:lumMod val="60000"/>
          <a:lumOff val="40000"/>
        </a:schemeClr>
      </a:solidFill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b="1">
                <a:solidFill>
                  <a:schemeClr val="accent1">
                    <a:lumMod val="75000"/>
                  </a:schemeClr>
                </a:solidFill>
              </a:rPr>
              <a:t>Ventes 2009</a:t>
            </a:r>
          </a:p>
        </c:rich>
      </c:tx>
      <c:layout>
        <c:manualLayout>
          <c:xMode val="edge"/>
          <c:yMode val="edge"/>
          <c:x val="0.41424882032313931"/>
          <c:y val="1.6718913270637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20"/>
      <c:hPercent val="100"/>
      <c:rotY val="30"/>
      <c:depthPercent val="99"/>
      <c:rAngAx val="0"/>
      <c:perspective val="40"/>
    </c:view3D>
    <c:floor>
      <c:thickness val="0"/>
      <c:spPr>
        <a:noFill/>
        <a:ln>
          <a:solidFill>
            <a:schemeClr val="bg1">
              <a:lumMod val="65000"/>
            </a:schemeClr>
          </a:solidFill>
        </a:ln>
        <a:effectLst/>
        <a:sp3d>
          <a:contourClr>
            <a:schemeClr val="bg1">
              <a:lumMod val="6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911551776029275"/>
          <c:y val="0.1076003587325879"/>
          <c:w val="0.69363387844631941"/>
          <c:h val="0.78932791775987254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résultat!$C$8</c:f>
              <c:strCache>
                <c:ptCount val="1"/>
                <c:pt idx="0">
                  <c:v>Trimestre 1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résultat!$B$9:$B$13</c:f>
              <c:strCache>
                <c:ptCount val="5"/>
                <c:pt idx="0">
                  <c:v>Location</c:v>
                </c:pt>
                <c:pt idx="1">
                  <c:v>Courantes</c:v>
                </c:pt>
                <c:pt idx="2">
                  <c:v>Paie</c:v>
                </c:pt>
                <c:pt idx="3">
                  <c:v>Assurances</c:v>
                </c:pt>
                <c:pt idx="4">
                  <c:v>Fournitures</c:v>
                </c:pt>
              </c:strCache>
            </c:strRef>
          </c:cat>
          <c:val>
            <c:numRef>
              <c:f>résultat!$C$9:$C$13</c:f>
              <c:numCache>
                <c:formatCode>#\ ##0.00\ "$"</c:formatCode>
                <c:ptCount val="5"/>
                <c:pt idx="0">
                  <c:v>1988.5</c:v>
                </c:pt>
                <c:pt idx="1">
                  <c:v>5215</c:v>
                </c:pt>
                <c:pt idx="2">
                  <c:v>7832.97</c:v>
                </c:pt>
                <c:pt idx="3">
                  <c:v>2337.81</c:v>
                </c:pt>
                <c:pt idx="4">
                  <c:v>4336.37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6-481F-BDF9-5C5EFA4F50C0}"/>
            </c:ext>
          </c:extLst>
        </c:ser>
        <c:ser>
          <c:idx val="1"/>
          <c:order val="1"/>
          <c:tx>
            <c:strRef>
              <c:f>résultat!$D$8</c:f>
              <c:strCache>
                <c:ptCount val="1"/>
                <c:pt idx="0">
                  <c:v>Trimestre 2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résultat!$B$9:$B$13</c:f>
              <c:strCache>
                <c:ptCount val="5"/>
                <c:pt idx="0">
                  <c:v>Location</c:v>
                </c:pt>
                <c:pt idx="1">
                  <c:v>Courantes</c:v>
                </c:pt>
                <c:pt idx="2">
                  <c:v>Paie</c:v>
                </c:pt>
                <c:pt idx="3">
                  <c:v>Assurances</c:v>
                </c:pt>
                <c:pt idx="4">
                  <c:v>Fournitures</c:v>
                </c:pt>
              </c:strCache>
            </c:strRef>
          </c:cat>
          <c:val>
            <c:numRef>
              <c:f>résultat!$D$9:$D$13</c:f>
              <c:numCache>
                <c:formatCode>#\ ##0.00\ "$"</c:formatCode>
                <c:ptCount val="5"/>
                <c:pt idx="0">
                  <c:v>2897.35</c:v>
                </c:pt>
                <c:pt idx="1">
                  <c:v>8309.0499999999993</c:v>
                </c:pt>
                <c:pt idx="2">
                  <c:v>11299.87</c:v>
                </c:pt>
                <c:pt idx="3">
                  <c:v>2137.81</c:v>
                </c:pt>
                <c:pt idx="4">
                  <c:v>1790.84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96-481F-BDF9-5C5EFA4F50C0}"/>
            </c:ext>
          </c:extLst>
        </c:ser>
        <c:ser>
          <c:idx val="2"/>
          <c:order val="2"/>
          <c:tx>
            <c:strRef>
              <c:f>résultat!$E$8</c:f>
              <c:strCache>
                <c:ptCount val="1"/>
                <c:pt idx="0">
                  <c:v>Trimestre 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résultat!$B$9:$B$13</c:f>
              <c:strCache>
                <c:ptCount val="5"/>
                <c:pt idx="0">
                  <c:v>Location</c:v>
                </c:pt>
                <c:pt idx="1">
                  <c:v>Courantes</c:v>
                </c:pt>
                <c:pt idx="2">
                  <c:v>Paie</c:v>
                </c:pt>
                <c:pt idx="3">
                  <c:v>Assurances</c:v>
                </c:pt>
                <c:pt idx="4">
                  <c:v>Fournitures</c:v>
                </c:pt>
              </c:strCache>
            </c:strRef>
          </c:cat>
          <c:val>
            <c:numRef>
              <c:f>résultat!$E$9:$E$13</c:f>
              <c:numCache>
                <c:formatCode>#\ ##0.00\ "$"</c:formatCode>
                <c:ptCount val="5"/>
                <c:pt idx="0">
                  <c:v>5223.25</c:v>
                </c:pt>
                <c:pt idx="1">
                  <c:v>4287.9799999999996</c:v>
                </c:pt>
                <c:pt idx="2">
                  <c:v>8264.81</c:v>
                </c:pt>
                <c:pt idx="3">
                  <c:v>1237.81</c:v>
                </c:pt>
                <c:pt idx="4">
                  <c:v>1206.77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96-481F-BDF9-5C5EFA4F50C0}"/>
            </c:ext>
          </c:extLst>
        </c:ser>
        <c:ser>
          <c:idx val="3"/>
          <c:order val="3"/>
          <c:tx>
            <c:strRef>
              <c:f>résultat!$F$8</c:f>
              <c:strCache>
                <c:ptCount val="1"/>
                <c:pt idx="0">
                  <c:v>Trimestre 4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résultat!$B$9:$B$13</c:f>
              <c:strCache>
                <c:ptCount val="5"/>
                <c:pt idx="0">
                  <c:v>Location</c:v>
                </c:pt>
                <c:pt idx="1">
                  <c:v>Courantes</c:v>
                </c:pt>
                <c:pt idx="2">
                  <c:v>Paie</c:v>
                </c:pt>
                <c:pt idx="3">
                  <c:v>Assurances</c:v>
                </c:pt>
                <c:pt idx="4">
                  <c:v>Fournitures</c:v>
                </c:pt>
              </c:strCache>
            </c:strRef>
          </c:cat>
          <c:val>
            <c:numRef>
              <c:f>résultat!$F$9:$F$13</c:f>
              <c:numCache>
                <c:formatCode>#\ ##0.00\ "$"</c:formatCode>
                <c:ptCount val="5"/>
                <c:pt idx="0">
                  <c:v>7996.36</c:v>
                </c:pt>
                <c:pt idx="1">
                  <c:v>9352.64</c:v>
                </c:pt>
                <c:pt idx="2">
                  <c:v>13226.47</c:v>
                </c:pt>
                <c:pt idx="3">
                  <c:v>3237.81</c:v>
                </c:pt>
                <c:pt idx="4">
                  <c:v>1628.13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96-481F-BDF9-5C5EFA4F5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39440271"/>
        <c:axId val="1139434863"/>
        <c:axId val="1138976095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résultat!$G$8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résultat!$B$9:$B$13</c15:sqref>
                        </c15:formulaRef>
                      </c:ext>
                    </c:extLst>
                    <c:strCache>
                      <c:ptCount val="5"/>
                      <c:pt idx="0">
                        <c:v>Location</c:v>
                      </c:pt>
                      <c:pt idx="1">
                        <c:v>Courantes</c:v>
                      </c:pt>
                      <c:pt idx="2">
                        <c:v>Paie</c:v>
                      </c:pt>
                      <c:pt idx="3">
                        <c:v>Assurances</c:v>
                      </c:pt>
                      <c:pt idx="4">
                        <c:v>Fournitures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résultat!$G$9:$G$13</c15:sqref>
                        </c15:formulaRef>
                      </c:ext>
                    </c:extLst>
                    <c:numCache>
                      <c:formatCode>#\ ##0.00\ "$"</c:formatCode>
                      <c:ptCount val="5"/>
                      <c:pt idx="0">
                        <c:v>18105.46</c:v>
                      </c:pt>
                      <c:pt idx="1">
                        <c:v>27164.67</c:v>
                      </c:pt>
                      <c:pt idx="2">
                        <c:v>40624.120000000003</c:v>
                      </c:pt>
                      <c:pt idx="3">
                        <c:v>8951.24</c:v>
                      </c:pt>
                      <c:pt idx="4">
                        <c:v>8962.11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A696-481F-BDF9-5C5EFA4F50C0}"/>
                  </c:ext>
                </c:extLst>
              </c15:ser>
            </c15:filteredBarSeries>
          </c:ext>
        </c:extLst>
      </c:bar3DChart>
      <c:catAx>
        <c:axId val="1139440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solidFill>
              <a:schemeClr val="bg1">
                <a:lumMod val="65000"/>
              </a:schemeClr>
            </a:solidFill>
          </a:ln>
          <a:effectLst>
            <a:softEdge rad="0"/>
          </a:effectLst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39434863"/>
        <c:crosses val="autoZero"/>
        <c:auto val="1"/>
        <c:lblAlgn val="ctr"/>
        <c:lblOffset val="100"/>
        <c:noMultiLvlLbl val="0"/>
      </c:catAx>
      <c:valAx>
        <c:axId val="11394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\ &quot;$&quot;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2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39440271"/>
        <c:crosses val="autoZero"/>
        <c:crossBetween val="between"/>
      </c:valAx>
      <c:serAx>
        <c:axId val="113897609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39434863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38674789067337"/>
          <c:y val="0.20546285946418683"/>
          <c:w val="0.14633027997640527"/>
          <c:h val="0.282133636116802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b="1">
                <a:solidFill>
                  <a:schemeClr val="accent2">
                    <a:lumMod val="75000"/>
                  </a:schemeClr>
                </a:solidFill>
              </a:rPr>
              <a:t>Dépenses 2009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20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résultat!$C$17</c:f>
              <c:strCache>
                <c:ptCount val="1"/>
                <c:pt idx="0">
                  <c:v>Trimestre 1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résultat!$B$18:$B$20</c:f>
              <c:strCache>
                <c:ptCount val="3"/>
                <c:pt idx="0">
                  <c:v>Résidentiel</c:v>
                </c:pt>
                <c:pt idx="1">
                  <c:v>Automobile</c:v>
                </c:pt>
                <c:pt idx="2">
                  <c:v>Vie</c:v>
                </c:pt>
              </c:strCache>
            </c:strRef>
          </c:cat>
          <c:val>
            <c:numRef>
              <c:f>résultat!$C$18:$C$20</c:f>
              <c:numCache>
                <c:formatCode>#\ ##0.00\ "$"</c:formatCode>
                <c:ptCount val="3"/>
                <c:pt idx="0">
                  <c:v>12462.87</c:v>
                </c:pt>
                <c:pt idx="1">
                  <c:v>2533.2399999999998</c:v>
                </c:pt>
                <c:pt idx="2">
                  <c:v>8755.24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1573-46C5-9C4D-3152727CA5CC}"/>
            </c:ext>
          </c:extLst>
        </c:ser>
        <c:ser>
          <c:idx val="1"/>
          <c:order val="1"/>
          <c:tx>
            <c:strRef>
              <c:f>résultat!$D$17</c:f>
              <c:strCache>
                <c:ptCount val="1"/>
                <c:pt idx="0">
                  <c:v>Trimestre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résultat!$B$18:$B$20</c:f>
              <c:strCache>
                <c:ptCount val="3"/>
                <c:pt idx="0">
                  <c:v>Résidentiel</c:v>
                </c:pt>
                <c:pt idx="1">
                  <c:v>Automobile</c:v>
                </c:pt>
                <c:pt idx="2">
                  <c:v>Vie</c:v>
                </c:pt>
              </c:strCache>
            </c:strRef>
          </c:cat>
          <c:val>
            <c:numRef>
              <c:f>résultat!$D$18:$D$20</c:f>
              <c:numCache>
                <c:formatCode>#\ ##0.00\ "$"</c:formatCode>
                <c:ptCount val="3"/>
                <c:pt idx="0">
                  <c:v>8256.9699999999993</c:v>
                </c:pt>
                <c:pt idx="1">
                  <c:v>5855.47</c:v>
                </c:pt>
                <c:pt idx="2">
                  <c:v>7562.22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1573-46C5-9C4D-3152727CA5CC}"/>
            </c:ext>
          </c:extLst>
        </c:ser>
        <c:ser>
          <c:idx val="2"/>
          <c:order val="2"/>
          <c:tx>
            <c:strRef>
              <c:f>résultat!$E$17</c:f>
              <c:strCache>
                <c:ptCount val="1"/>
                <c:pt idx="0">
                  <c:v>Trimestre 3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résultat!$B$18:$B$20</c:f>
              <c:strCache>
                <c:ptCount val="3"/>
                <c:pt idx="0">
                  <c:v>Résidentiel</c:v>
                </c:pt>
                <c:pt idx="1">
                  <c:v>Automobile</c:v>
                </c:pt>
                <c:pt idx="2">
                  <c:v>Vie</c:v>
                </c:pt>
              </c:strCache>
            </c:strRef>
          </c:cat>
          <c:val>
            <c:numRef>
              <c:f>résultat!$E$18:$E$20</c:f>
              <c:numCache>
                <c:formatCode>#\ ##0.00\ "$"</c:formatCode>
                <c:ptCount val="3"/>
                <c:pt idx="0">
                  <c:v>10884.65</c:v>
                </c:pt>
                <c:pt idx="1">
                  <c:v>8525.14</c:v>
                </c:pt>
                <c:pt idx="2">
                  <c:v>5221.5600000000004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1573-46C5-9C4D-3152727CA5CC}"/>
            </c:ext>
          </c:extLst>
        </c:ser>
        <c:ser>
          <c:idx val="3"/>
          <c:order val="3"/>
          <c:tx>
            <c:strRef>
              <c:f>résultat!$F$17</c:f>
              <c:strCache>
                <c:ptCount val="1"/>
                <c:pt idx="0">
                  <c:v>Trimestre 4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résultat!$B$18:$B$20</c:f>
              <c:strCache>
                <c:ptCount val="3"/>
                <c:pt idx="0">
                  <c:v>Résidentiel</c:v>
                </c:pt>
                <c:pt idx="1">
                  <c:v>Automobile</c:v>
                </c:pt>
                <c:pt idx="2">
                  <c:v>Vie</c:v>
                </c:pt>
              </c:strCache>
            </c:strRef>
          </c:cat>
          <c:val>
            <c:numRef>
              <c:f>résultat!$F$18:$F$20</c:f>
              <c:numCache>
                <c:formatCode>#\ ##0.00\ "$"</c:formatCode>
                <c:ptCount val="3"/>
                <c:pt idx="0">
                  <c:v>18995.599999999999</c:v>
                </c:pt>
                <c:pt idx="1">
                  <c:v>11253.21</c:v>
                </c:pt>
                <c:pt idx="2">
                  <c:v>3256.47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3-1573-46C5-9C4D-3152727CA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6166591"/>
        <c:axId val="956167007"/>
        <c:axId val="0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résultat!$G$17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résultat!$B$18:$B$20</c15:sqref>
                        </c15:formulaRef>
                      </c:ext>
                    </c:extLst>
                    <c:strCache>
                      <c:ptCount val="3"/>
                      <c:pt idx="0">
                        <c:v>Résidentiel</c:v>
                      </c:pt>
                      <c:pt idx="1">
                        <c:v>Automobile</c:v>
                      </c:pt>
                      <c:pt idx="2">
                        <c:v>Vie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résultat!$G$18:$G$20</c15:sqref>
                        </c15:formulaRef>
                      </c:ext>
                    </c:extLst>
                    <c:numCache>
                      <c:formatCode>#\ ##0.00\ "$"</c:formatCode>
                      <c:ptCount val="3"/>
                      <c:pt idx="0">
                        <c:v>50600.09</c:v>
                      </c:pt>
                      <c:pt idx="1">
                        <c:v>28167.059999999998</c:v>
                      </c:pt>
                      <c:pt idx="2">
                        <c:v>24795.49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1573-46C5-9C4D-3152727CA5CC}"/>
                  </c:ext>
                </c:extLst>
              </c15:ser>
            </c15:filteredBarSeries>
          </c:ext>
        </c:extLst>
      </c:bar3DChart>
      <c:catAx>
        <c:axId val="956166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>
            <a:softEdge rad="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6167007"/>
        <c:crosses val="autoZero"/>
        <c:auto val="1"/>
        <c:lblAlgn val="ctr"/>
        <c:lblOffset val="100"/>
        <c:noMultiLvlLbl val="0"/>
      </c:catAx>
      <c:valAx>
        <c:axId val="95616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\ &quot;$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6166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4"/>
                </a:solidFill>
              </a:rPr>
              <a:t>Croissance</a:t>
            </a:r>
            <a:r>
              <a:rPr lang="en-US" b="1" baseline="0">
                <a:solidFill>
                  <a:schemeClr val="accent4"/>
                </a:solidFill>
              </a:rPr>
              <a:t> 2009</a:t>
            </a:r>
            <a:endParaRPr lang="en-US" b="1">
              <a:solidFill>
                <a:schemeClr val="accent4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résultat!$B$25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résultat!$C$24:$G$24</c15:sqref>
                  </c15:fullRef>
                </c:ext>
              </c:extLst>
              <c:f>résultat!$C$24:$F$24</c:f>
              <c:strCache>
                <c:ptCount val="4"/>
                <c:pt idx="0">
                  <c:v>Trimestre 1</c:v>
                </c:pt>
                <c:pt idx="1">
                  <c:v>Trimestre 2</c:v>
                </c:pt>
                <c:pt idx="2">
                  <c:v>Trimestre 3</c:v>
                </c:pt>
                <c:pt idx="3">
                  <c:v>Trimestre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résultat!$C$25:$G$25</c15:sqref>
                  </c15:fullRef>
                </c:ext>
              </c:extLst>
              <c:f>résultat!$C$25:$F$25</c:f>
              <c:numCache>
                <c:formatCode>#\ ##0.00\ "$"</c:formatCode>
                <c:ptCount val="4"/>
                <c:pt idx="0">
                  <c:v>-2040.6999999999971</c:v>
                </c:pt>
                <c:pt idx="1">
                  <c:v>4760.260000000002</c:v>
                </c:pt>
                <c:pt idx="2">
                  <c:v>-4410.7299999999996</c:v>
                </c:pt>
                <c:pt idx="3">
                  <c:v>1936.1299999999974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8-47AF-8138-EAC16428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578591"/>
        <c:axId val="1216593151"/>
      </c:lineChart>
      <c:catAx>
        <c:axId val="1216578591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6593151"/>
        <c:crosses val="autoZero"/>
        <c:auto val="1"/>
        <c:lblAlgn val="ctr"/>
        <c:lblOffset val="100"/>
        <c:noMultiLvlLbl val="0"/>
      </c:catAx>
      <c:valAx>
        <c:axId val="121659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\ &quot;$&quot;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657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4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7</xdr:row>
      <xdr:rowOff>0</xdr:rowOff>
    </xdr:from>
    <xdr:to>
      <xdr:col>17</xdr:col>
      <xdr:colOff>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26</xdr:row>
      <xdr:rowOff>7620</xdr:rowOff>
    </xdr:from>
    <xdr:to>
      <xdr:col>17</xdr:col>
      <xdr:colOff>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26</xdr:row>
      <xdr:rowOff>7620</xdr:rowOff>
    </xdr:from>
    <xdr:to>
      <xdr:col>7</xdr:col>
      <xdr:colOff>0</xdr:colOff>
      <xdr:row>44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385348</xdr:colOff>
      <xdr:row>5</xdr:row>
      <xdr:rowOff>95249</xdr:rowOff>
    </xdr:from>
    <xdr:to>
      <xdr:col>17</xdr:col>
      <xdr:colOff>0</xdr:colOff>
      <xdr:row>24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C5FAED1-274C-4911-91C5-51DC63418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342900</xdr:colOff>
      <xdr:row>26</xdr:row>
      <xdr:rowOff>9525</xdr:rowOff>
    </xdr:from>
    <xdr:to>
      <xdr:col>17</xdr:col>
      <xdr:colOff>9525</xdr:colOff>
      <xdr:row>41</xdr:row>
      <xdr:rowOff>114301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890C4CE-FD27-41AB-BF43-C8E32CBBFA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9938</xdr:colOff>
      <xdr:row>26</xdr:row>
      <xdr:rowOff>4082</xdr:rowOff>
    </xdr:from>
    <xdr:to>
      <xdr:col>6</xdr:col>
      <xdr:colOff>761999</xdr:colOff>
      <xdr:row>41</xdr:row>
      <xdr:rowOff>123825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296AE4C-2308-4C3D-A541-FD2C8C784D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Q25"/>
  <sheetViews>
    <sheetView showGridLines="0" zoomScaleNormal="100" workbookViewId="0">
      <selection activeCell="B2" sqref="B2:Q2"/>
    </sheetView>
  </sheetViews>
  <sheetFormatPr baseColWidth="10" defaultColWidth="9.140625" defaultRowHeight="11.25" x14ac:dyDescent="0.2"/>
  <cols>
    <col min="1" max="1" width="1.7109375" style="5" customWidth="1"/>
    <col min="2" max="7" width="11.5703125" style="5" customWidth="1"/>
    <col min="8" max="8" width="1.7109375" style="5" customWidth="1"/>
    <col min="9" max="15" width="9.140625" style="5"/>
    <col min="16" max="16" width="9.140625" style="5" customWidth="1"/>
    <col min="17" max="17" width="9.140625" style="5"/>
    <col min="18" max="18" width="1.7109375" style="5" customWidth="1"/>
    <col min="19" max="16384" width="9.140625" style="5"/>
  </cols>
  <sheetData>
    <row r="1" spans="2:17" ht="3" customHeight="1" x14ac:dyDescent="0.2"/>
    <row r="2" spans="2:17" ht="20.25" x14ac:dyDescent="0.3">
      <c r="B2" s="98" t="s">
        <v>17</v>
      </c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</row>
    <row r="3" spans="2:17" ht="3.6" customHeight="1" x14ac:dyDescent="0.2">
      <c r="B3" s="6"/>
      <c r="C3" s="6"/>
      <c r="D3" s="6"/>
      <c r="E3" s="6"/>
      <c r="F3" s="6"/>
      <c r="G3" s="6"/>
    </row>
    <row r="4" spans="2:17" x14ac:dyDescent="0.2">
      <c r="B4" s="99" t="s">
        <v>13</v>
      </c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</row>
    <row r="5" spans="2:17" ht="3.6" customHeight="1" x14ac:dyDescent="0.2">
      <c r="B5" s="6"/>
      <c r="C5" s="6"/>
      <c r="D5" s="6"/>
      <c r="E5" s="6"/>
      <c r="F5" s="6"/>
      <c r="G5" s="6"/>
    </row>
    <row r="6" spans="2:17" ht="12" thickBot="1" x14ac:dyDescent="0.25">
      <c r="B6" s="6"/>
      <c r="C6" s="6"/>
      <c r="D6" s="6"/>
      <c r="E6" s="6"/>
      <c r="F6" s="6"/>
      <c r="G6" s="6"/>
    </row>
    <row r="7" spans="2:17" ht="3" customHeight="1" thickBot="1" x14ac:dyDescent="0.25">
      <c r="B7" s="39"/>
      <c r="C7" s="6"/>
      <c r="D7" s="6"/>
      <c r="E7" s="6"/>
      <c r="F7" s="6"/>
      <c r="G7" s="6"/>
    </row>
    <row r="8" spans="2:17" s="7" customFormat="1" ht="12.75" thickBot="1" x14ac:dyDescent="0.25">
      <c r="B8" s="49" t="s">
        <v>7</v>
      </c>
      <c r="C8" s="36" t="s">
        <v>3</v>
      </c>
      <c r="D8" s="36" t="s">
        <v>4</v>
      </c>
      <c r="E8" s="36" t="s">
        <v>5</v>
      </c>
      <c r="F8" s="37" t="s">
        <v>6</v>
      </c>
      <c r="G8" s="38" t="s">
        <v>0</v>
      </c>
    </row>
    <row r="9" spans="2:17" x14ac:dyDescent="0.2">
      <c r="B9" s="15" t="s">
        <v>8</v>
      </c>
      <c r="C9" s="16">
        <v>1988.5</v>
      </c>
      <c r="D9" s="16">
        <v>2897.35</v>
      </c>
      <c r="E9" s="16">
        <v>5223.25</v>
      </c>
      <c r="F9" s="17">
        <v>7996.36</v>
      </c>
      <c r="G9" s="8">
        <f>SUM(C9:F9)</f>
        <v>18105.46</v>
      </c>
    </row>
    <row r="10" spans="2:17" x14ac:dyDescent="0.2">
      <c r="B10" s="15" t="s">
        <v>9</v>
      </c>
      <c r="C10" s="16">
        <v>5215</v>
      </c>
      <c r="D10" s="16">
        <v>8309.0499999999993</v>
      </c>
      <c r="E10" s="16">
        <v>4287.9799999999996</v>
      </c>
      <c r="F10" s="17">
        <v>9352.64</v>
      </c>
      <c r="G10" s="8">
        <f>SUM(C10:F10)</f>
        <v>27164.67</v>
      </c>
    </row>
    <row r="11" spans="2:17" x14ac:dyDescent="0.2">
      <c r="B11" s="15" t="s">
        <v>10</v>
      </c>
      <c r="C11" s="16">
        <v>7832.97</v>
      </c>
      <c r="D11" s="16">
        <v>11299.87</v>
      </c>
      <c r="E11" s="16">
        <v>8264.81</v>
      </c>
      <c r="F11" s="17">
        <v>13226.47</v>
      </c>
      <c r="G11" s="8">
        <f>SUM(C11:F11)</f>
        <v>40624.120000000003</v>
      </c>
    </row>
    <row r="12" spans="2:17" x14ac:dyDescent="0.2">
      <c r="B12" s="15" t="s">
        <v>11</v>
      </c>
      <c r="C12" s="16">
        <v>2337.81</v>
      </c>
      <c r="D12" s="16">
        <v>2137.81</v>
      </c>
      <c r="E12" s="16">
        <v>1237.81</v>
      </c>
      <c r="F12" s="17">
        <v>3237.81</v>
      </c>
      <c r="G12" s="8">
        <f>SUM(C12:F12)</f>
        <v>8951.24</v>
      </c>
    </row>
    <row r="13" spans="2:17" ht="12" thickBot="1" x14ac:dyDescent="0.25">
      <c r="B13" s="18" t="s">
        <v>12</v>
      </c>
      <c r="C13" s="19">
        <v>4336.37</v>
      </c>
      <c r="D13" s="19">
        <v>1790.84</v>
      </c>
      <c r="E13" s="19">
        <v>1206.77</v>
      </c>
      <c r="F13" s="20">
        <v>1628.13</v>
      </c>
      <c r="G13" s="9">
        <f>SUM(C13:F13)</f>
        <v>8962.11</v>
      </c>
    </row>
    <row r="14" spans="2:17" ht="12" thickBot="1" x14ac:dyDescent="0.25">
      <c r="B14" s="21" t="s">
        <v>0</v>
      </c>
      <c r="C14" s="22">
        <f>SUM(C9:C13)</f>
        <v>21710.65</v>
      </c>
      <c r="D14" s="22">
        <f>SUM(D9:D13)</f>
        <v>26434.920000000002</v>
      </c>
      <c r="E14" s="22">
        <f>SUM(E9:E13)</f>
        <v>20220.620000000003</v>
      </c>
      <c r="F14" s="23">
        <f>SUM(F9:F13)</f>
        <v>35441.409999999996</v>
      </c>
      <c r="G14" s="10">
        <f>SUM(G9:G13)</f>
        <v>103807.6</v>
      </c>
    </row>
    <row r="15" spans="2:17" ht="12" thickBot="1" x14ac:dyDescent="0.25">
      <c r="B15" s="6"/>
      <c r="C15" s="6"/>
      <c r="D15" s="6"/>
      <c r="E15" s="6"/>
      <c r="F15" s="6"/>
      <c r="G15" s="6"/>
    </row>
    <row r="16" spans="2:17" ht="3" customHeight="1" thickBot="1" x14ac:dyDescent="0.25">
      <c r="B16" s="43"/>
      <c r="C16" s="6"/>
      <c r="D16" s="6"/>
      <c r="E16" s="6"/>
      <c r="F16" s="6"/>
      <c r="G16" s="6"/>
    </row>
    <row r="17" spans="2:7" ht="12.75" thickBot="1" x14ac:dyDescent="0.25">
      <c r="B17" s="48" t="s">
        <v>2</v>
      </c>
      <c r="C17" s="40" t="s">
        <v>3</v>
      </c>
      <c r="D17" s="40" t="s">
        <v>4</v>
      </c>
      <c r="E17" s="40" t="s">
        <v>5</v>
      </c>
      <c r="F17" s="41" t="s">
        <v>6</v>
      </c>
      <c r="G17" s="42" t="s">
        <v>0</v>
      </c>
    </row>
    <row r="18" spans="2:7" x14ac:dyDescent="0.2">
      <c r="B18" s="24" t="s">
        <v>14</v>
      </c>
      <c r="C18" s="25">
        <v>12462.87</v>
      </c>
      <c r="D18" s="25">
        <v>8256.9699999999993</v>
      </c>
      <c r="E18" s="25">
        <v>10884.65</v>
      </c>
      <c r="F18" s="26">
        <v>18995.599999999999</v>
      </c>
      <c r="G18" s="11">
        <f>SUM(C18:F18)</f>
        <v>50600.09</v>
      </c>
    </row>
    <row r="19" spans="2:7" x14ac:dyDescent="0.2">
      <c r="B19" s="24" t="s">
        <v>15</v>
      </c>
      <c r="C19" s="25">
        <v>2533.2399999999998</v>
      </c>
      <c r="D19" s="25">
        <v>5855.47</v>
      </c>
      <c r="E19" s="25">
        <v>8525.14</v>
      </c>
      <c r="F19" s="26">
        <v>11253.21</v>
      </c>
      <c r="G19" s="11">
        <f>SUM(C19:F19)</f>
        <v>28167.059999999998</v>
      </c>
    </row>
    <row r="20" spans="2:7" ht="12" thickBot="1" x14ac:dyDescent="0.25">
      <c r="B20" s="27" t="s">
        <v>16</v>
      </c>
      <c r="C20" s="28">
        <v>8755.24</v>
      </c>
      <c r="D20" s="28">
        <v>7562.22</v>
      </c>
      <c r="E20" s="28">
        <v>5221.5600000000004</v>
      </c>
      <c r="F20" s="29">
        <v>3256.47</v>
      </c>
      <c r="G20" s="12">
        <f>SUM(C20:F20)</f>
        <v>24795.49</v>
      </c>
    </row>
    <row r="21" spans="2:7" ht="12" thickBot="1" x14ac:dyDescent="0.25">
      <c r="B21" s="30" t="s">
        <v>0</v>
      </c>
      <c r="C21" s="31">
        <f>SUM(C18:C20)</f>
        <v>23751.35</v>
      </c>
      <c r="D21" s="31">
        <f>SUM(D18:D20)</f>
        <v>21674.66</v>
      </c>
      <c r="E21" s="31">
        <f>SUM(E18:E20)</f>
        <v>24631.350000000002</v>
      </c>
      <c r="F21" s="32">
        <f>SUM(F18:F20)</f>
        <v>33505.279999999999</v>
      </c>
      <c r="G21" s="13">
        <f>SUM(G18:G20)</f>
        <v>103562.64</v>
      </c>
    </row>
    <row r="22" spans="2:7" ht="12" thickBot="1" x14ac:dyDescent="0.25">
      <c r="B22" s="6"/>
      <c r="C22" s="6"/>
      <c r="D22" s="6"/>
      <c r="E22" s="6"/>
      <c r="F22" s="6"/>
      <c r="G22" s="6"/>
    </row>
    <row r="23" spans="2:7" ht="3" customHeight="1" thickBot="1" x14ac:dyDescent="0.25">
      <c r="B23" s="44"/>
      <c r="C23" s="6"/>
      <c r="D23" s="6"/>
      <c r="E23" s="6"/>
      <c r="F23" s="6"/>
      <c r="G23" s="6"/>
    </row>
    <row r="24" spans="2:7" ht="12.75" thickBot="1" x14ac:dyDescent="0.25">
      <c r="B24" s="50" t="s">
        <v>1</v>
      </c>
      <c r="C24" s="45" t="s">
        <v>3</v>
      </c>
      <c r="D24" s="45" t="s">
        <v>4</v>
      </c>
      <c r="E24" s="45" t="s">
        <v>5</v>
      </c>
      <c r="F24" s="46" t="s">
        <v>6</v>
      </c>
      <c r="G24" s="47" t="s">
        <v>0</v>
      </c>
    </row>
    <row r="25" spans="2:7" ht="12" thickBot="1" x14ac:dyDescent="0.25">
      <c r="B25" s="33" t="s">
        <v>0</v>
      </c>
      <c r="C25" s="34">
        <f>-C21+C14</f>
        <v>-2040.6999999999971</v>
      </c>
      <c r="D25" s="34">
        <f t="shared" ref="D25:G25" si="0">-D21+D14</f>
        <v>4760.260000000002</v>
      </c>
      <c r="E25" s="34">
        <f t="shared" si="0"/>
        <v>-4410.7299999999996</v>
      </c>
      <c r="F25" s="35">
        <f t="shared" si="0"/>
        <v>1936.1299999999974</v>
      </c>
      <c r="G25" s="14">
        <f t="shared" si="0"/>
        <v>244.9600000000064</v>
      </c>
    </row>
  </sheetData>
  <sheetProtection password="C7C0" sheet="1" objects="1" scenarios="1" selectLockedCells="1"/>
  <mergeCells count="2">
    <mergeCell ref="B2:Q2"/>
    <mergeCell ref="B4:Q4"/>
  </mergeCells>
  <conditionalFormatting sqref="C25:G25">
    <cfRule type="cellIs" dxfId="2" priority="1" operator="lessThan">
      <formula>0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8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22DB0-0C15-455B-B434-C5587380C27E}">
  <dimension ref="A1:Q25"/>
  <sheetViews>
    <sheetView showGridLines="0" tabSelected="1" zoomScaleNormal="100" workbookViewId="0">
      <selection activeCell="T17" sqref="T17"/>
    </sheetView>
  </sheetViews>
  <sheetFormatPr baseColWidth="10" defaultRowHeight="15" x14ac:dyDescent="0.25"/>
  <cols>
    <col min="1" max="1" width="2.7109375" customWidth="1"/>
    <col min="2" max="7" width="13.28515625" customWidth="1"/>
    <col min="8" max="8" width="2.7109375" customWidth="1"/>
    <col min="9" max="9" width="8.85546875" customWidth="1"/>
    <col min="10" max="10" width="7.85546875" customWidth="1"/>
    <col min="11" max="12" width="8" customWidth="1"/>
    <col min="13" max="13" width="7.85546875" customWidth="1"/>
    <col min="14" max="14" width="8.5703125" customWidth="1"/>
    <col min="15" max="15" width="8" customWidth="1"/>
    <col min="16" max="16" width="7.7109375" customWidth="1"/>
    <col min="17" max="17" width="8" customWidth="1"/>
  </cols>
  <sheetData>
    <row r="1" spans="1:17" ht="3" customHeight="1" x14ac:dyDescent="0.25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</row>
    <row r="2" spans="1:17" ht="32.25" customHeight="1" x14ac:dyDescent="0.25">
      <c r="A2" s="59"/>
      <c r="B2" s="101" t="s">
        <v>17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</row>
    <row r="3" spans="1:17" ht="3" customHeight="1" x14ac:dyDescent="0.25">
      <c r="B3" s="102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</row>
    <row r="4" spans="1:17" ht="12.75" customHeight="1" x14ac:dyDescent="0.25">
      <c r="B4" s="100" t="s">
        <v>30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</row>
    <row r="5" spans="1:17" ht="2.25" customHeight="1" x14ac:dyDescent="0.25"/>
    <row r="6" spans="1:17" ht="14.25" customHeight="1" thickBot="1" x14ac:dyDescent="0.3"/>
    <row r="7" spans="1:17" ht="3" customHeight="1" thickBot="1" x14ac:dyDescent="0.3">
      <c r="B7" s="91"/>
    </row>
    <row r="8" spans="1:17" ht="15.75" thickBot="1" x14ac:dyDescent="0.3">
      <c r="B8" s="90" t="s">
        <v>7</v>
      </c>
      <c r="C8" s="87" t="s">
        <v>3</v>
      </c>
      <c r="D8" s="88" t="s">
        <v>4</v>
      </c>
      <c r="E8" s="87" t="s">
        <v>5</v>
      </c>
      <c r="F8" s="89" t="s">
        <v>6</v>
      </c>
      <c r="G8" s="79" t="s">
        <v>0</v>
      </c>
    </row>
    <row r="9" spans="1:17" ht="13.5" customHeight="1" x14ac:dyDescent="0.25">
      <c r="B9" s="60" t="s">
        <v>8</v>
      </c>
      <c r="C9" s="64">
        <v>1988.5</v>
      </c>
      <c r="D9" s="64">
        <v>2897.35</v>
      </c>
      <c r="E9" s="64">
        <v>5223.25</v>
      </c>
      <c r="F9" s="65">
        <v>7996.36</v>
      </c>
      <c r="G9" s="84">
        <v>18105.46</v>
      </c>
    </row>
    <row r="10" spans="1:17" ht="12.75" customHeight="1" x14ac:dyDescent="0.25">
      <c r="B10" s="60" t="s">
        <v>9</v>
      </c>
      <c r="C10" s="64">
        <v>5215</v>
      </c>
      <c r="D10" s="64">
        <v>8309.0499999999993</v>
      </c>
      <c r="E10" s="64">
        <v>4287.9799999999996</v>
      </c>
      <c r="F10" s="65">
        <v>9352.64</v>
      </c>
      <c r="G10" s="85">
        <v>27164.67</v>
      </c>
    </row>
    <row r="11" spans="1:17" ht="12" customHeight="1" x14ac:dyDescent="0.25">
      <c r="B11" s="60" t="s">
        <v>10</v>
      </c>
      <c r="C11" s="64">
        <v>7832.97</v>
      </c>
      <c r="D11" s="64">
        <v>11299.87</v>
      </c>
      <c r="E11" s="64">
        <v>8264.81</v>
      </c>
      <c r="F11" s="65">
        <v>13226.47</v>
      </c>
      <c r="G11" s="85">
        <v>40624.120000000003</v>
      </c>
    </row>
    <row r="12" spans="1:17" ht="12" customHeight="1" x14ac:dyDescent="0.25">
      <c r="B12" s="60" t="s">
        <v>11</v>
      </c>
      <c r="C12" s="64">
        <v>2337.81</v>
      </c>
      <c r="D12" s="64">
        <v>2137.81</v>
      </c>
      <c r="E12" s="64">
        <v>1237.81</v>
      </c>
      <c r="F12" s="65">
        <v>3237.81</v>
      </c>
      <c r="G12" s="85">
        <v>8951.24</v>
      </c>
    </row>
    <row r="13" spans="1:17" ht="12" customHeight="1" thickBot="1" x14ac:dyDescent="0.3">
      <c r="B13" s="60" t="s">
        <v>12</v>
      </c>
      <c r="C13" s="64">
        <v>4336.37</v>
      </c>
      <c r="D13" s="64">
        <v>1790.84</v>
      </c>
      <c r="E13" s="64">
        <v>1206.77</v>
      </c>
      <c r="F13" s="65">
        <v>1628.13</v>
      </c>
      <c r="G13" s="86">
        <v>8962.11</v>
      </c>
    </row>
    <row r="14" spans="1:17" ht="15" customHeight="1" thickBot="1" x14ac:dyDescent="0.3">
      <c r="B14" s="81" t="s">
        <v>0</v>
      </c>
      <c r="C14" s="82">
        <v>21710.65</v>
      </c>
      <c r="D14" s="82">
        <v>26434.920000000002</v>
      </c>
      <c r="E14" s="82">
        <v>20220.620000000003</v>
      </c>
      <c r="F14" s="83">
        <v>35441.409999999996</v>
      </c>
      <c r="G14" s="80">
        <v>103807.6</v>
      </c>
    </row>
    <row r="15" spans="1:17" ht="15.75" thickBot="1" x14ac:dyDescent="0.3">
      <c r="B15" s="1"/>
      <c r="C15" s="1"/>
      <c r="D15" s="1"/>
      <c r="E15" s="1"/>
      <c r="F15" s="1"/>
      <c r="G15" s="1"/>
    </row>
    <row r="16" spans="1:17" ht="3" customHeight="1" thickBot="1" x14ac:dyDescent="0.3">
      <c r="B16" s="70"/>
      <c r="C16" s="1"/>
      <c r="D16" s="1"/>
      <c r="E16" s="1"/>
      <c r="F16" s="1"/>
      <c r="G16" s="1"/>
    </row>
    <row r="17" spans="2:7" ht="15.75" thickBot="1" x14ac:dyDescent="0.3">
      <c r="B17" s="68" t="s">
        <v>2</v>
      </c>
      <c r="C17" s="69" t="s">
        <v>3</v>
      </c>
      <c r="D17" s="69" t="s">
        <v>4</v>
      </c>
      <c r="E17" s="69" t="s">
        <v>5</v>
      </c>
      <c r="F17" s="69" t="s">
        <v>6</v>
      </c>
      <c r="G17" s="71" t="s">
        <v>0</v>
      </c>
    </row>
    <row r="18" spans="2:7" ht="13.5" customHeight="1" x14ac:dyDescent="0.25">
      <c r="B18" s="61" t="s">
        <v>14</v>
      </c>
      <c r="C18" s="63">
        <v>12462.87</v>
      </c>
      <c r="D18" s="63">
        <v>8256.9699999999993</v>
      </c>
      <c r="E18" s="63">
        <v>10884.65</v>
      </c>
      <c r="F18" s="72">
        <v>18995.599999999999</v>
      </c>
      <c r="G18" s="73">
        <v>50600.09</v>
      </c>
    </row>
    <row r="19" spans="2:7" ht="12" customHeight="1" x14ac:dyDescent="0.25">
      <c r="B19" s="61" t="s">
        <v>15</v>
      </c>
      <c r="C19" s="63">
        <v>2533.2399999999998</v>
      </c>
      <c r="D19" s="63">
        <v>5855.47</v>
      </c>
      <c r="E19" s="63">
        <v>8525.14</v>
      </c>
      <c r="F19" s="72">
        <v>11253.21</v>
      </c>
      <c r="G19" s="74">
        <v>28167.059999999998</v>
      </c>
    </row>
    <row r="20" spans="2:7" ht="12.75" customHeight="1" thickBot="1" x14ac:dyDescent="0.3">
      <c r="B20" s="61" t="s">
        <v>16</v>
      </c>
      <c r="C20" s="63">
        <v>8755.24</v>
      </c>
      <c r="D20" s="63">
        <v>7562.22</v>
      </c>
      <c r="E20" s="63">
        <v>5221.5600000000004</v>
      </c>
      <c r="F20" s="72">
        <v>3256.47</v>
      </c>
      <c r="G20" s="74">
        <v>24795.49</v>
      </c>
    </row>
    <row r="21" spans="2:7" ht="15.75" thickBot="1" x14ac:dyDescent="0.3">
      <c r="B21" s="76" t="s">
        <v>0</v>
      </c>
      <c r="C21" s="77">
        <v>23751.35</v>
      </c>
      <c r="D21" s="77">
        <v>21674.66</v>
      </c>
      <c r="E21" s="77">
        <v>24631.350000000002</v>
      </c>
      <c r="F21" s="78">
        <v>33505.279999999999</v>
      </c>
      <c r="G21" s="75">
        <v>103562.64</v>
      </c>
    </row>
    <row r="22" spans="2:7" ht="15.75" thickBot="1" x14ac:dyDescent="0.3">
      <c r="B22" s="1"/>
      <c r="C22" s="1"/>
      <c r="D22" s="1"/>
      <c r="E22" s="1"/>
      <c r="F22" s="1"/>
      <c r="G22" s="1"/>
    </row>
    <row r="23" spans="2:7" ht="2.25" customHeight="1" thickBot="1" x14ac:dyDescent="0.3">
      <c r="B23" s="97"/>
      <c r="C23" s="1"/>
      <c r="D23" s="1"/>
      <c r="E23" s="1"/>
      <c r="F23" s="1"/>
      <c r="G23" s="1"/>
    </row>
    <row r="24" spans="2:7" ht="15.75" thickBot="1" x14ac:dyDescent="0.3">
      <c r="B24" s="96" t="s">
        <v>1</v>
      </c>
      <c r="C24" s="94" t="s">
        <v>3</v>
      </c>
      <c r="D24" s="94" t="s">
        <v>4</v>
      </c>
      <c r="E24" s="94" t="s">
        <v>5</v>
      </c>
      <c r="F24" s="95" t="s">
        <v>6</v>
      </c>
      <c r="G24" s="93" t="s">
        <v>0</v>
      </c>
    </row>
    <row r="25" spans="2:7" ht="15.75" customHeight="1" thickBot="1" x14ac:dyDescent="0.3">
      <c r="B25" s="62" t="s">
        <v>0</v>
      </c>
      <c r="C25" s="66">
        <v>-2040.6999999999971</v>
      </c>
      <c r="D25" s="67">
        <v>4760.260000000002</v>
      </c>
      <c r="E25" s="66">
        <v>-4410.7299999999996</v>
      </c>
      <c r="F25" s="67">
        <v>1936.1299999999974</v>
      </c>
      <c r="G25" s="92">
        <v>244.96</v>
      </c>
    </row>
  </sheetData>
  <mergeCells count="3">
    <mergeCell ref="B4:Q4"/>
    <mergeCell ref="B2:Q2"/>
    <mergeCell ref="B3:Q3"/>
  </mergeCells>
  <conditionalFormatting sqref="C25:G25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Q28"/>
  <sheetViews>
    <sheetView workbookViewId="0">
      <selection activeCell="C55" sqref="C55"/>
    </sheetView>
  </sheetViews>
  <sheetFormatPr baseColWidth="10" defaultColWidth="9.140625" defaultRowHeight="11.25" x14ac:dyDescent="0.2"/>
  <cols>
    <col min="1" max="1" width="9.140625" style="1" customWidth="1"/>
    <col min="2" max="2" width="21" style="1" bestFit="1" customWidth="1"/>
    <col min="3" max="6" width="10.5703125" style="1" bestFit="1" customWidth="1"/>
    <col min="7" max="7" width="11.42578125" style="1" bestFit="1" customWidth="1"/>
    <col min="8" max="8" width="9.140625" style="1" customWidth="1"/>
    <col min="9" max="15" width="9.140625" style="1"/>
    <col min="16" max="16" width="9.140625" style="1" customWidth="1"/>
    <col min="17" max="16384" width="9.140625" style="1"/>
  </cols>
  <sheetData>
    <row r="2" spans="2:17" ht="10.15" customHeight="1" x14ac:dyDescent="0.2">
      <c r="B2" s="4" t="s">
        <v>17</v>
      </c>
      <c r="C2" s="4"/>
      <c r="D2" s="4"/>
      <c r="E2" s="4"/>
      <c r="F2" s="4"/>
      <c r="G2" s="4"/>
      <c r="H2" s="4"/>
      <c r="I2" s="4"/>
      <c r="K2" s="4"/>
      <c r="L2" s="4"/>
      <c r="M2" s="4"/>
      <c r="N2" s="4"/>
      <c r="O2" s="4"/>
      <c r="P2" s="4"/>
      <c r="Q2" s="4"/>
    </row>
    <row r="3" spans="2:17" ht="10.15" customHeight="1" x14ac:dyDescent="0.2">
      <c r="J3" s="4"/>
    </row>
    <row r="4" spans="2:17" ht="10.15" customHeight="1" x14ac:dyDescent="0.2">
      <c r="B4" s="4" t="s">
        <v>13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7" ht="10.15" customHeight="1" x14ac:dyDescent="0.2"/>
    <row r="6" spans="2:17" ht="10.15" customHeight="1" x14ac:dyDescent="0.2"/>
    <row r="7" spans="2:17" ht="10.15" customHeight="1" x14ac:dyDescent="0.2"/>
    <row r="8" spans="2:17" ht="10.15" customHeight="1" x14ac:dyDescent="0.2">
      <c r="B8" s="1" t="s">
        <v>7</v>
      </c>
      <c r="C8" s="1" t="s">
        <v>3</v>
      </c>
      <c r="D8" s="1" t="s">
        <v>4</v>
      </c>
      <c r="E8" s="1" t="s">
        <v>5</v>
      </c>
      <c r="F8" s="1" t="s">
        <v>6</v>
      </c>
      <c r="G8" s="1" t="s">
        <v>0</v>
      </c>
    </row>
    <row r="9" spans="2:17" ht="10.15" customHeight="1" x14ac:dyDescent="0.2">
      <c r="B9" s="1" t="s">
        <v>8</v>
      </c>
      <c r="C9" s="58">
        <v>1988.5</v>
      </c>
      <c r="D9" s="58">
        <v>2897.35</v>
      </c>
      <c r="E9" s="58">
        <v>5223.25</v>
      </c>
      <c r="F9" s="58">
        <v>7996.36</v>
      </c>
      <c r="G9" s="58">
        <v>18105.46</v>
      </c>
    </row>
    <row r="10" spans="2:17" ht="10.15" customHeight="1" x14ac:dyDescent="0.2">
      <c r="B10" s="1" t="s">
        <v>9</v>
      </c>
      <c r="C10" s="58">
        <v>5215</v>
      </c>
      <c r="D10" s="58">
        <v>8309.0499999999993</v>
      </c>
      <c r="E10" s="58">
        <v>4287.9799999999996</v>
      </c>
      <c r="F10" s="58">
        <v>9352.64</v>
      </c>
      <c r="G10" s="58">
        <v>27164.67</v>
      </c>
    </row>
    <row r="11" spans="2:17" ht="10.15" customHeight="1" x14ac:dyDescent="0.2">
      <c r="B11" s="1" t="s">
        <v>10</v>
      </c>
      <c r="C11" s="58">
        <v>7832.97</v>
      </c>
      <c r="D11" s="58">
        <v>11299.87</v>
      </c>
      <c r="E11" s="58">
        <v>8264.81</v>
      </c>
      <c r="F11" s="58">
        <v>13226.47</v>
      </c>
      <c r="G11" s="58">
        <v>40624.120000000003</v>
      </c>
    </row>
    <row r="12" spans="2:17" ht="10.15" customHeight="1" x14ac:dyDescent="0.2">
      <c r="B12" s="1" t="s">
        <v>11</v>
      </c>
      <c r="C12" s="58">
        <v>2337.81</v>
      </c>
      <c r="D12" s="58">
        <v>2137.81</v>
      </c>
      <c r="E12" s="58">
        <v>1237.81</v>
      </c>
      <c r="F12" s="58">
        <v>3237.81</v>
      </c>
      <c r="G12" s="58">
        <v>8951.24</v>
      </c>
    </row>
    <row r="13" spans="2:17" ht="10.15" customHeight="1" x14ac:dyDescent="0.2">
      <c r="B13" s="1" t="s">
        <v>12</v>
      </c>
      <c r="C13" s="58">
        <v>4336.37</v>
      </c>
      <c r="D13" s="58">
        <v>1790.84</v>
      </c>
      <c r="E13" s="58">
        <v>1206.77</v>
      </c>
      <c r="F13" s="58">
        <v>1628.13</v>
      </c>
      <c r="G13" s="58">
        <v>8962.11</v>
      </c>
    </row>
    <row r="14" spans="2:17" ht="10.15" customHeight="1" x14ac:dyDescent="0.2">
      <c r="B14" s="1" t="s">
        <v>0</v>
      </c>
      <c r="C14" s="58">
        <v>21710.65</v>
      </c>
      <c r="D14" s="58">
        <v>26434.920000000002</v>
      </c>
      <c r="E14" s="58">
        <v>20220.620000000003</v>
      </c>
      <c r="F14" s="58">
        <v>35441.409999999996</v>
      </c>
      <c r="G14" s="58">
        <v>103807.6</v>
      </c>
    </row>
    <row r="15" spans="2:17" ht="10.15" customHeight="1" x14ac:dyDescent="0.2"/>
    <row r="16" spans="2:17" ht="10.15" customHeight="1" x14ac:dyDescent="0.2"/>
    <row r="17" spans="2:7" ht="10.15" customHeight="1" x14ac:dyDescent="0.2">
      <c r="B17" s="1" t="s">
        <v>2</v>
      </c>
      <c r="C17" s="1" t="s">
        <v>3</v>
      </c>
      <c r="D17" s="1" t="s">
        <v>4</v>
      </c>
      <c r="E17" s="1" t="s">
        <v>5</v>
      </c>
      <c r="F17" s="1" t="s">
        <v>6</v>
      </c>
      <c r="G17" s="1" t="s">
        <v>0</v>
      </c>
    </row>
    <row r="18" spans="2:7" ht="10.15" customHeight="1" x14ac:dyDescent="0.2">
      <c r="B18" s="1" t="s">
        <v>14</v>
      </c>
      <c r="C18" s="3">
        <v>12462.87</v>
      </c>
      <c r="D18" s="3">
        <v>8256.9699999999993</v>
      </c>
      <c r="E18" s="3">
        <v>10884.65</v>
      </c>
      <c r="F18" s="3">
        <v>18995.599999999999</v>
      </c>
      <c r="G18" s="2">
        <v>50600.09</v>
      </c>
    </row>
    <row r="19" spans="2:7" ht="10.15" customHeight="1" x14ac:dyDescent="0.2">
      <c r="B19" s="1" t="s">
        <v>15</v>
      </c>
      <c r="C19" s="3">
        <v>2533.2399999999998</v>
      </c>
      <c r="D19" s="3">
        <v>5855.47</v>
      </c>
      <c r="E19" s="3">
        <v>8525.14</v>
      </c>
      <c r="F19" s="3">
        <v>11253.21</v>
      </c>
      <c r="G19" s="2">
        <v>28167.059999999998</v>
      </c>
    </row>
    <row r="20" spans="2:7" ht="10.15" customHeight="1" x14ac:dyDescent="0.2">
      <c r="B20" s="1" t="s">
        <v>16</v>
      </c>
      <c r="C20" s="3">
        <v>8755.24</v>
      </c>
      <c r="D20" s="3">
        <v>7562.22</v>
      </c>
      <c r="E20" s="3">
        <v>5221.5600000000004</v>
      </c>
      <c r="F20" s="3">
        <v>3256.47</v>
      </c>
      <c r="G20" s="2">
        <v>24795.49</v>
      </c>
    </row>
    <row r="21" spans="2:7" ht="10.15" customHeight="1" x14ac:dyDescent="0.2">
      <c r="B21" s="1" t="s">
        <v>0</v>
      </c>
      <c r="C21" s="2">
        <v>23751.35</v>
      </c>
      <c r="D21" s="2">
        <v>21674.66</v>
      </c>
      <c r="E21" s="2">
        <v>24631.350000000002</v>
      </c>
      <c r="F21" s="2">
        <v>33505.279999999999</v>
      </c>
      <c r="G21" s="1">
        <v>103562.64</v>
      </c>
    </row>
    <row r="22" spans="2:7" ht="10.15" customHeight="1" x14ac:dyDescent="0.2"/>
    <row r="23" spans="2:7" ht="10.15" customHeight="1" x14ac:dyDescent="0.2"/>
    <row r="24" spans="2:7" ht="10.15" customHeight="1" x14ac:dyDescent="0.2">
      <c r="B24" s="1" t="s">
        <v>1</v>
      </c>
      <c r="C24" s="1" t="s">
        <v>3</v>
      </c>
      <c r="D24" s="1" t="s">
        <v>4</v>
      </c>
      <c r="E24" s="1" t="s">
        <v>5</v>
      </c>
      <c r="F24" s="1" t="s">
        <v>6</v>
      </c>
      <c r="G24" s="1" t="s">
        <v>0</v>
      </c>
    </row>
    <row r="25" spans="2:7" ht="10.15" customHeight="1" x14ac:dyDescent="0.2">
      <c r="B25" s="1" t="s">
        <v>0</v>
      </c>
      <c r="C25" s="2">
        <v>-2040.6999999999971</v>
      </c>
      <c r="D25" s="2">
        <v>4760.260000000002</v>
      </c>
      <c r="E25" s="2">
        <v>-4410.7299999999996</v>
      </c>
      <c r="F25" s="2">
        <v>1936.1299999999974</v>
      </c>
      <c r="G25" s="2">
        <v>244.96</v>
      </c>
    </row>
    <row r="26" spans="2:7" ht="10.15" customHeight="1" x14ac:dyDescent="0.2"/>
    <row r="27" spans="2:7" ht="10.15" customHeight="1" x14ac:dyDescent="0.2"/>
    <row r="28" spans="2:7" ht="10.15" customHeight="1" x14ac:dyDescent="0.2"/>
  </sheetData>
  <conditionalFormatting sqref="C25:G2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1:D14"/>
  <sheetViews>
    <sheetView showGridLines="0" workbookViewId="0">
      <selection activeCell="B2" sqref="B2:D2"/>
    </sheetView>
  </sheetViews>
  <sheetFormatPr baseColWidth="10" defaultColWidth="9.140625" defaultRowHeight="11.25" x14ac:dyDescent="0.2"/>
  <cols>
    <col min="1" max="1" width="1.7109375" style="51" customWidth="1"/>
    <col min="2" max="2" width="2.7109375" style="51" customWidth="1"/>
    <col min="3" max="3" width="33.28515625" style="51" customWidth="1"/>
    <col min="4" max="4" width="100" style="51" customWidth="1"/>
    <col min="5" max="5" width="1.7109375" style="51" customWidth="1"/>
    <col min="6" max="16384" width="9.140625" style="51"/>
  </cols>
  <sheetData>
    <row r="1" spans="2:4" ht="6" customHeight="1" x14ac:dyDescent="0.2"/>
    <row r="2" spans="2:4" ht="12.75" x14ac:dyDescent="0.2">
      <c r="B2" s="105" t="s">
        <v>18</v>
      </c>
      <c r="C2" s="105"/>
      <c r="D2" s="105"/>
    </row>
    <row r="3" spans="2:4" ht="3" customHeight="1" x14ac:dyDescent="0.2"/>
    <row r="4" spans="2:4" x14ac:dyDescent="0.2">
      <c r="C4" s="104" t="s">
        <v>19</v>
      </c>
      <c r="D4" s="53" t="s">
        <v>24</v>
      </c>
    </row>
    <row r="5" spans="2:4" x14ac:dyDescent="0.2">
      <c r="C5" s="104"/>
      <c r="D5" s="54" t="s">
        <v>25</v>
      </c>
    </row>
    <row r="6" spans="2:4" x14ac:dyDescent="0.2">
      <c r="C6" s="104"/>
      <c r="D6" s="55" t="s">
        <v>26</v>
      </c>
    </row>
    <row r="7" spans="2:4" x14ac:dyDescent="0.2">
      <c r="C7" s="104"/>
      <c r="D7" s="54" t="s">
        <v>28</v>
      </c>
    </row>
    <row r="8" spans="2:4" x14ac:dyDescent="0.2">
      <c r="C8" s="104"/>
      <c r="D8" s="56" t="s">
        <v>27</v>
      </c>
    </row>
    <row r="9" spans="2:4" ht="3" customHeight="1" x14ac:dyDescent="0.2">
      <c r="C9" s="52"/>
    </row>
    <row r="10" spans="2:4" x14ac:dyDescent="0.2">
      <c r="C10" s="104" t="s">
        <v>20</v>
      </c>
      <c r="D10" s="53" t="s">
        <v>21</v>
      </c>
    </row>
    <row r="11" spans="2:4" x14ac:dyDescent="0.2">
      <c r="C11" s="104"/>
      <c r="D11" s="54" t="s">
        <v>22</v>
      </c>
    </row>
    <row r="12" spans="2:4" x14ac:dyDescent="0.2">
      <c r="C12" s="104"/>
      <c r="D12" s="55" t="s">
        <v>29</v>
      </c>
    </row>
    <row r="13" spans="2:4" x14ac:dyDescent="0.2">
      <c r="C13" s="104"/>
      <c r="D13" s="57" t="s">
        <v>23</v>
      </c>
    </row>
    <row r="14" spans="2:4" ht="3" customHeight="1" x14ac:dyDescent="0.2"/>
  </sheetData>
  <sheetProtection password="C7C0" sheet="1" objects="1" scenarios="1" selectLockedCells="1"/>
  <mergeCells count="3">
    <mergeCell ref="C10:C13"/>
    <mergeCell ref="C4:C8"/>
    <mergeCell ref="B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Résultat attendu</vt:lpstr>
      <vt:lpstr>résultat</vt:lpstr>
      <vt:lpstr>Données brutes</vt:lpstr>
      <vt:lpstr>Objectifs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Elizabeth Reding</dc:creator>
  <cp:lastModifiedBy>Del Balso Alek</cp:lastModifiedBy>
  <cp:lastPrinted>2010-09-14T06:18:31Z</cp:lastPrinted>
  <dcterms:created xsi:type="dcterms:W3CDTF">2006-08-29T14:29:59Z</dcterms:created>
  <dcterms:modified xsi:type="dcterms:W3CDTF">2022-10-18T15:12:03Z</dcterms:modified>
</cp:coreProperties>
</file>